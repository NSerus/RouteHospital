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enes\Desktop\"/>
    </mc:Choice>
  </mc:AlternateContent>
  <xr:revisionPtr revIDLastSave="0" documentId="13_ncr:1_{B7F603F8-15E6-43BA-BB64-E488124D4BC5}" xr6:coauthVersionLast="46" xr6:coauthVersionMax="46" xr10:uidLastSave="{00000000-0000-0000-0000-000000000000}"/>
  <bookViews>
    <workbookView xWindow="-108" yWindow="-108" windowWidth="23256" windowHeight="12576" activeTab="1" xr2:uid="{12AB9C54-869C-4A5C-9FA5-6F54BF6F671A}"/>
  </bookViews>
  <sheets>
    <sheet name="Dados" sheetId="1" r:id="rId1"/>
    <sheet name="Distance Matrix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3" i="2" l="1"/>
  <c r="AK12" i="2"/>
  <c r="AK11" i="2"/>
  <c r="AK10" i="2"/>
  <c r="AK9" i="2"/>
  <c r="AK8" i="2"/>
  <c r="AK7" i="2"/>
  <c r="AK6" i="2"/>
  <c r="AK5" i="2"/>
  <c r="AK4" i="2"/>
  <c r="AK3" i="2"/>
  <c r="M37" i="2"/>
  <c r="L37" i="2"/>
  <c r="K37" i="2"/>
  <c r="J37" i="2"/>
  <c r="I37" i="2"/>
  <c r="H37" i="2"/>
  <c r="G37" i="2"/>
  <c r="F37" i="2"/>
  <c r="E37" i="2"/>
  <c r="D37" i="2"/>
  <c r="C37" i="2"/>
  <c r="AJ35" i="2"/>
  <c r="AJ34" i="2"/>
  <c r="AJ33" i="2"/>
  <c r="AJ32" i="2"/>
  <c r="AJ31" i="2"/>
  <c r="AJ30" i="2"/>
  <c r="AJ29" i="2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AJ3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C36" i="2"/>
  <c r="AG26" i="2"/>
  <c r="Z33" i="2"/>
  <c r="AF26" i="2"/>
  <c r="Z32" i="2"/>
  <c r="AB13" i="2"/>
  <c r="AB12" i="2"/>
  <c r="AB11" i="2"/>
  <c r="AB10" i="2"/>
  <c r="AB9" i="2"/>
  <c r="AB8" i="2"/>
  <c r="AB7" i="2"/>
  <c r="AB6" i="2"/>
  <c r="AB5" i="2"/>
  <c r="AB4" i="2"/>
  <c r="AB3" i="2"/>
  <c r="M28" i="2"/>
  <c r="L28" i="2"/>
  <c r="K28" i="2"/>
  <c r="J28" i="2"/>
  <c r="I28" i="2"/>
  <c r="H28" i="2"/>
  <c r="G28" i="2"/>
  <c r="F28" i="2"/>
  <c r="E28" i="2"/>
  <c r="D28" i="2"/>
  <c r="C28" i="2"/>
  <c r="AA13" i="2"/>
  <c r="AA12" i="2"/>
  <c r="AA11" i="2"/>
  <c r="AA10" i="2"/>
  <c r="AA9" i="2"/>
  <c r="AA8" i="2"/>
  <c r="AA7" i="2"/>
  <c r="AA6" i="2"/>
  <c r="AA5" i="2"/>
  <c r="AA4" i="2"/>
  <c r="AA3" i="2"/>
  <c r="M27" i="2"/>
  <c r="L27" i="2"/>
  <c r="K27" i="2"/>
  <c r="J27" i="2"/>
  <c r="I27" i="2"/>
  <c r="H27" i="2"/>
  <c r="G27" i="2"/>
  <c r="F27" i="2"/>
  <c r="E27" i="2"/>
  <c r="D27" i="2"/>
  <c r="C27" i="2"/>
  <c r="Z13" i="2"/>
  <c r="Z12" i="2"/>
  <c r="Z11" i="2"/>
  <c r="Z10" i="2"/>
  <c r="Z9" i="2"/>
  <c r="Z8" i="2"/>
  <c r="Z7" i="2"/>
  <c r="Z6" i="2"/>
  <c r="Z5" i="2"/>
  <c r="Z4" i="2"/>
  <c r="Z3" i="2"/>
  <c r="L26" i="2"/>
  <c r="M26" i="2"/>
  <c r="K26" i="2"/>
  <c r="D26" i="2"/>
  <c r="E26" i="2"/>
  <c r="F26" i="2"/>
  <c r="G26" i="2"/>
  <c r="H26" i="2"/>
  <c r="I26" i="2"/>
  <c r="J26" i="2"/>
  <c r="C26" i="2"/>
  <c r="J15" i="1"/>
  <c r="J16" i="1"/>
  <c r="J17" i="1"/>
  <c r="J18" i="1"/>
  <c r="J23" i="1"/>
  <c r="J24" i="1"/>
  <c r="J25" i="1"/>
  <c r="J26" i="1"/>
  <c r="J31" i="1"/>
  <c r="J32" i="1"/>
  <c r="J33" i="1"/>
  <c r="J34" i="1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I16" i="1"/>
  <c r="I17" i="1"/>
  <c r="I18" i="1"/>
  <c r="I19" i="1"/>
  <c r="J19" i="1" s="1"/>
  <c r="I20" i="1"/>
  <c r="J20" i="1" s="1"/>
  <c r="I21" i="1"/>
  <c r="J21" i="1" s="1"/>
  <c r="I22" i="1"/>
  <c r="J22" i="1" s="1"/>
  <c r="I23" i="1"/>
  <c r="I24" i="1"/>
  <c r="I25" i="1"/>
  <c r="I26" i="1"/>
  <c r="I27" i="1"/>
  <c r="J27" i="1" s="1"/>
  <c r="I28" i="1"/>
  <c r="J28" i="1" s="1"/>
  <c r="I29" i="1"/>
  <c r="J29" i="1" s="1"/>
  <c r="I30" i="1"/>
  <c r="J30" i="1" s="1"/>
  <c r="I31" i="1"/>
  <c r="I32" i="1"/>
  <c r="I33" i="1"/>
  <c r="I34" i="1"/>
  <c r="I35" i="1"/>
  <c r="J35" i="1" s="1"/>
  <c r="I36" i="1"/>
  <c r="J36" i="1" s="1"/>
  <c r="I2" i="1"/>
  <c r="J2" i="1" s="1"/>
</calcChain>
</file>

<file path=xl/sharedStrings.xml><?xml version="1.0" encoding="utf-8"?>
<sst xmlns="http://schemas.openxmlformats.org/spreadsheetml/2006/main" count="150" uniqueCount="48">
  <si>
    <t>ServiceID</t>
  </si>
  <si>
    <t>ServiceDes</t>
  </si>
  <si>
    <t>Floor</t>
  </si>
  <si>
    <t>Box1</t>
  </si>
  <si>
    <t>Box2</t>
  </si>
  <si>
    <t>Box3</t>
  </si>
  <si>
    <t>Box4</t>
  </si>
  <si>
    <t>Volume</t>
  </si>
  <si>
    <t>VolumeAsCars</t>
  </si>
  <si>
    <t>UCIP</t>
  </si>
  <si>
    <t>Bloco e Anestesia</t>
  </si>
  <si>
    <t>UDIC</t>
  </si>
  <si>
    <t>Paliativos</t>
  </si>
  <si>
    <t>Imagiologia</t>
  </si>
  <si>
    <t>Urgência Pediatria</t>
  </si>
  <si>
    <t>Urgência</t>
  </si>
  <si>
    <t>Building</t>
  </si>
  <si>
    <t>Observações</t>
  </si>
  <si>
    <t>Pediatria</t>
  </si>
  <si>
    <t>Neonatologia/UCIN</t>
  </si>
  <si>
    <t>Esterilização</t>
  </si>
  <si>
    <t>Obstetrícia</t>
  </si>
  <si>
    <t>Bloco P5</t>
  </si>
  <si>
    <t>Ginecologia</t>
  </si>
  <si>
    <t>Cirurgia</t>
  </si>
  <si>
    <t>Ortopedia Homens</t>
  </si>
  <si>
    <t>Ortopedia Mulheres</t>
  </si>
  <si>
    <t>Cardiologia/UCIC</t>
  </si>
  <si>
    <t>Urologia/Cirurgia 7</t>
  </si>
  <si>
    <t>Medicina Interna 9</t>
  </si>
  <si>
    <t>Medicina Interna 10</t>
  </si>
  <si>
    <t>Internamento</t>
  </si>
  <si>
    <t>Neurologia/Pneumologia</t>
  </si>
  <si>
    <t>MFR</t>
  </si>
  <si>
    <t>CE2</t>
  </si>
  <si>
    <t>Recobro Tardio</t>
  </si>
  <si>
    <t>EP</t>
  </si>
  <si>
    <t>Administrativo</t>
  </si>
  <si>
    <t>Hospital de Dia</t>
  </si>
  <si>
    <t>Anestesia-Dor</t>
  </si>
  <si>
    <t>Psiquiatria</t>
  </si>
  <si>
    <t>CE3</t>
  </si>
  <si>
    <t>UCA</t>
  </si>
  <si>
    <t>HD Gastro</t>
  </si>
  <si>
    <t>HD Oncologia</t>
  </si>
  <si>
    <t>UMAD</t>
  </si>
  <si>
    <t>F</t>
  </si>
  <si>
    <t>Consulta Externa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</si>
</sst>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0" fillId="0" borderId="0" xfId="0" applyNumberFormat="1"/>
    <xf numFmtId="0" fontId="1" fillId="0" borderId="3" xfId="0" applyFont="1" applyBorder="1"/>
    <xf numFmtId="0" fontId="0" fillId="0" borderId="3" xfId="0" applyBorder="1"/>
    <xf numFmtId="2" fontId="0" fillId="0" borderId="3" xfId="0" applyNumberFormat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2" borderId="6" xfId="0" applyNumberFormat="1" applyFont="1" applyFill="1" applyBorder="1"/>
    <xf numFmtId="0" fontId="0" fillId="2" borderId="7" xfId="0" applyNumberFormat="1" applyFont="1" applyFill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NumberFormat="1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7" xfId="0" applyNumberFormat="1" applyFont="1" applyFill="1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2" borderId="7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</cellXfs>
  <cellStyles count="1">
    <cellStyle name="Normal" xfId="0" builtinId="0"/>
  </cellStyles>
  <dxfs count="9"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4CBF39-2DE2-4109-8B00-9CFD36625102}" name="Table1" displayName="Table1" ref="A1:J36" totalsRowShown="0" headerRowDxfId="8" dataDxfId="6" headerRowBorderDxfId="7">
  <autoFilter ref="A1:J36" xr:uid="{846BBD3B-A017-4FF6-926D-EF80F6748418}"/>
  <tableColumns count="10">
    <tableColumn id="1" xr3:uid="{177B4223-FF2E-41A2-A5AF-1D0566440D4C}" name="ServiceID"/>
    <tableColumn id="2" xr3:uid="{EB3E96E0-0894-477E-B4A5-FF528A91C509}" name="ServiceDes"/>
    <tableColumn id="3" xr3:uid="{5829C0EB-81EE-41A1-A980-8A45B91BECD4}" name="Building"/>
    <tableColumn id="4" xr3:uid="{AE478C6D-ED78-4695-8796-0CE2D24EFA4B}" name="Floor"/>
    <tableColumn id="5" xr3:uid="{BF0630DA-0B5A-4260-8D64-FE45FF4A41F2}" name="Box1" dataDxfId="5"/>
    <tableColumn id="6" xr3:uid="{3D0571C2-5E81-4403-92AD-58D0BBB9E1D5}" name="Box2" dataDxfId="4"/>
    <tableColumn id="7" xr3:uid="{76DF59A2-618D-421C-992B-F9BF5F575F3E}" name="Box3" dataDxfId="3"/>
    <tableColumn id="8" xr3:uid="{7BAA7037-85D8-424E-BE47-FA38FCCD8E73}" name="Box4" dataDxfId="2"/>
    <tableColumn id="9" xr3:uid="{891E5D56-D957-475C-A715-41EBD91FB02E}" name="Volume" dataDxfId="1">
      <calculatedColumnFormula>0.07*E2+0.08*F2+0.04*G2+0.03*H2</calculatedColumnFormula>
    </tableColumn>
    <tableColumn id="10" xr3:uid="{21612717-59C6-4803-94BF-B013D69229F9}" name="VolumeAsCars" dataDxfId="0">
      <calculatedColumnFormula>I2/1.17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3058-5A02-43A9-AFAF-EE169CFE497E}">
  <dimension ref="A1:J36"/>
  <sheetViews>
    <sheetView topLeftCell="A10" workbookViewId="0">
      <selection activeCell="E6" sqref="E6"/>
    </sheetView>
  </sheetViews>
  <sheetFormatPr defaultRowHeight="14.4" x14ac:dyDescent="0.3"/>
  <cols>
    <col min="1" max="1" width="10.6640625" customWidth="1"/>
    <col min="2" max="2" width="21.6640625" bestFit="1" customWidth="1"/>
    <col min="3" max="3" width="9.6640625" customWidth="1"/>
    <col min="4" max="4" width="7.109375" customWidth="1"/>
    <col min="5" max="8" width="7" customWidth="1"/>
    <col min="9" max="9" width="9.44140625" customWidth="1"/>
    <col min="10" max="10" width="15" customWidth="1"/>
  </cols>
  <sheetData>
    <row r="1" spans="1:10" x14ac:dyDescent="0.3">
      <c r="A1" s="4" t="s">
        <v>0</v>
      </c>
      <c r="B1" s="4" t="s">
        <v>1</v>
      </c>
      <c r="C1" s="4" t="s">
        <v>16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</row>
    <row r="2" spans="1:10" x14ac:dyDescent="0.3">
      <c r="A2">
        <v>1</v>
      </c>
      <c r="B2" t="s">
        <v>9</v>
      </c>
      <c r="C2" t="s">
        <v>36</v>
      </c>
      <c r="D2">
        <v>2</v>
      </c>
      <c r="E2" s="2">
        <v>5</v>
      </c>
      <c r="F2" s="2">
        <v>10</v>
      </c>
      <c r="G2" s="2">
        <v>2</v>
      </c>
      <c r="H2" s="2">
        <v>1</v>
      </c>
      <c r="I2" s="3">
        <f>0.07*E2+0.08*F2+0.04*G2+0.03*H2</f>
        <v>1.2600000000000002</v>
      </c>
      <c r="J2" s="3">
        <f>I2/1.17</f>
        <v>1.0769230769230771</v>
      </c>
    </row>
    <row r="3" spans="1:10" x14ac:dyDescent="0.3">
      <c r="A3">
        <v>2</v>
      </c>
      <c r="B3" t="s">
        <v>10</v>
      </c>
      <c r="C3" t="s">
        <v>36</v>
      </c>
      <c r="D3">
        <v>2</v>
      </c>
      <c r="E3" s="1">
        <v>2</v>
      </c>
      <c r="F3" s="1">
        <v>20</v>
      </c>
      <c r="G3" s="1">
        <v>2</v>
      </c>
      <c r="H3" s="1">
        <v>1</v>
      </c>
      <c r="I3" s="3">
        <f t="shared" ref="I3:I36" si="0">0.07*E3+0.08*F3+0.04*G3+0.03*H3</f>
        <v>1.8500000000000003</v>
      </c>
      <c r="J3" s="3">
        <f t="shared" ref="J3:J36" si="1">I3/1.17</f>
        <v>1.5811965811965816</v>
      </c>
    </row>
    <row r="4" spans="1:10" x14ac:dyDescent="0.3">
      <c r="A4">
        <v>3</v>
      </c>
      <c r="B4" t="s">
        <v>11</v>
      </c>
      <c r="C4" t="s">
        <v>36</v>
      </c>
      <c r="D4">
        <v>2</v>
      </c>
      <c r="E4" s="1">
        <v>1</v>
      </c>
      <c r="F4" s="1">
        <v>2</v>
      </c>
      <c r="G4" s="1">
        <v>1</v>
      </c>
      <c r="H4" s="1">
        <v>0</v>
      </c>
      <c r="I4" s="3">
        <f t="shared" si="0"/>
        <v>0.27</v>
      </c>
      <c r="J4" s="3">
        <f t="shared" si="1"/>
        <v>0.23076923076923081</v>
      </c>
    </row>
    <row r="5" spans="1:10" x14ac:dyDescent="0.3">
      <c r="A5">
        <v>4</v>
      </c>
      <c r="B5" t="s">
        <v>12</v>
      </c>
      <c r="C5" t="s">
        <v>36</v>
      </c>
      <c r="D5">
        <v>2</v>
      </c>
      <c r="E5" s="1"/>
      <c r="F5" s="1"/>
      <c r="G5" s="1">
        <v>1</v>
      </c>
      <c r="H5" s="1">
        <v>0</v>
      </c>
      <c r="I5" s="3">
        <f t="shared" si="0"/>
        <v>0.04</v>
      </c>
      <c r="J5" s="3">
        <f t="shared" si="1"/>
        <v>3.4188034188034191E-2</v>
      </c>
    </row>
    <row r="6" spans="1:10" x14ac:dyDescent="0.3">
      <c r="A6">
        <v>5</v>
      </c>
      <c r="B6" t="s">
        <v>13</v>
      </c>
      <c r="C6" t="s">
        <v>36</v>
      </c>
      <c r="D6">
        <v>2</v>
      </c>
      <c r="E6" s="1">
        <v>2</v>
      </c>
      <c r="F6" s="1">
        <v>4</v>
      </c>
      <c r="G6" s="1">
        <v>1</v>
      </c>
      <c r="H6" s="1">
        <v>1</v>
      </c>
      <c r="I6" s="3">
        <f t="shared" si="0"/>
        <v>0.53</v>
      </c>
      <c r="J6" s="3">
        <f t="shared" si="1"/>
        <v>0.45299145299145305</v>
      </c>
    </row>
    <row r="7" spans="1:10" x14ac:dyDescent="0.3">
      <c r="A7">
        <v>6</v>
      </c>
      <c r="B7" t="s">
        <v>14</v>
      </c>
      <c r="C7" t="s">
        <v>36</v>
      </c>
      <c r="D7">
        <v>2</v>
      </c>
      <c r="E7" s="1"/>
      <c r="F7" s="1"/>
      <c r="G7" s="1">
        <v>1</v>
      </c>
      <c r="H7" s="1">
        <v>0</v>
      </c>
      <c r="I7" s="3">
        <f t="shared" si="0"/>
        <v>0.04</v>
      </c>
      <c r="J7" s="3">
        <f t="shared" si="1"/>
        <v>3.4188034188034191E-2</v>
      </c>
    </row>
    <row r="8" spans="1:10" x14ac:dyDescent="0.3">
      <c r="A8">
        <v>7</v>
      </c>
      <c r="B8" t="s">
        <v>15</v>
      </c>
      <c r="C8" t="s">
        <v>36</v>
      </c>
      <c r="D8">
        <v>2</v>
      </c>
      <c r="E8" s="1">
        <v>5</v>
      </c>
      <c r="F8" s="1">
        <v>10</v>
      </c>
      <c r="G8" s="1">
        <v>3</v>
      </c>
      <c r="H8" s="1">
        <v>2</v>
      </c>
      <c r="I8" s="3">
        <f t="shared" si="0"/>
        <v>1.33</v>
      </c>
      <c r="J8" s="3">
        <f t="shared" si="1"/>
        <v>1.1367521367521369</v>
      </c>
    </row>
    <row r="9" spans="1:10" x14ac:dyDescent="0.3">
      <c r="A9">
        <v>8</v>
      </c>
      <c r="B9" t="s">
        <v>17</v>
      </c>
      <c r="C9" t="s">
        <v>36</v>
      </c>
      <c r="D9">
        <v>2</v>
      </c>
      <c r="E9" s="1"/>
      <c r="F9" s="1"/>
      <c r="G9" s="1">
        <v>1</v>
      </c>
      <c r="H9" s="1">
        <v>0</v>
      </c>
      <c r="I9" s="3">
        <f t="shared" si="0"/>
        <v>0.04</v>
      </c>
      <c r="J9" s="3">
        <f t="shared" si="1"/>
        <v>3.4188034188034191E-2</v>
      </c>
    </row>
    <row r="10" spans="1:10" x14ac:dyDescent="0.3">
      <c r="A10">
        <v>9</v>
      </c>
      <c r="B10" t="s">
        <v>18</v>
      </c>
      <c r="C10" t="s">
        <v>36</v>
      </c>
      <c r="D10">
        <v>4</v>
      </c>
      <c r="E10" s="1">
        <v>2</v>
      </c>
      <c r="F10" s="1">
        <v>5</v>
      </c>
      <c r="G10" s="1">
        <v>1</v>
      </c>
      <c r="H10" s="1">
        <v>0</v>
      </c>
      <c r="I10" s="3">
        <f t="shared" si="0"/>
        <v>0.58000000000000007</v>
      </c>
      <c r="J10" s="3">
        <f t="shared" si="1"/>
        <v>0.4957264957264958</v>
      </c>
    </row>
    <row r="11" spans="1:10" x14ac:dyDescent="0.3">
      <c r="A11">
        <v>10</v>
      </c>
      <c r="B11" t="s">
        <v>19</v>
      </c>
      <c r="C11" t="s">
        <v>36</v>
      </c>
      <c r="D11">
        <v>4</v>
      </c>
      <c r="E11" s="1">
        <v>2</v>
      </c>
      <c r="F11" s="1">
        <v>5</v>
      </c>
      <c r="G11" s="1">
        <v>1</v>
      </c>
      <c r="H11" s="1">
        <v>0</v>
      </c>
      <c r="I11" s="3">
        <f t="shared" si="0"/>
        <v>0.58000000000000007</v>
      </c>
      <c r="J11" s="3">
        <f t="shared" si="1"/>
        <v>0.4957264957264958</v>
      </c>
    </row>
    <row r="12" spans="1:10" x14ac:dyDescent="0.3">
      <c r="A12">
        <v>11</v>
      </c>
      <c r="B12" t="s">
        <v>20</v>
      </c>
      <c r="C12" t="s">
        <v>36</v>
      </c>
      <c r="D12">
        <v>4</v>
      </c>
      <c r="E12" s="1">
        <v>1</v>
      </c>
      <c r="F12" s="1">
        <v>12</v>
      </c>
      <c r="G12" s="1">
        <v>1</v>
      </c>
      <c r="H12" s="1">
        <v>0</v>
      </c>
      <c r="I12" s="3">
        <f t="shared" si="0"/>
        <v>1.07</v>
      </c>
      <c r="J12" s="3">
        <f t="shared" si="1"/>
        <v>0.91452991452991461</v>
      </c>
    </row>
    <row r="13" spans="1:10" x14ac:dyDescent="0.3">
      <c r="A13">
        <v>12</v>
      </c>
      <c r="B13" t="s">
        <v>21</v>
      </c>
      <c r="C13" t="s">
        <v>36</v>
      </c>
      <c r="D13">
        <v>5</v>
      </c>
      <c r="E13" s="1">
        <v>2</v>
      </c>
      <c r="F13" s="1">
        <v>3</v>
      </c>
      <c r="G13" s="1">
        <v>1</v>
      </c>
      <c r="H13" s="1">
        <v>0</v>
      </c>
      <c r="I13" s="3">
        <f t="shared" si="0"/>
        <v>0.42</v>
      </c>
      <c r="J13" s="3">
        <f t="shared" si="1"/>
        <v>0.35897435897435898</v>
      </c>
    </row>
    <row r="14" spans="1:10" x14ac:dyDescent="0.3">
      <c r="A14">
        <v>13</v>
      </c>
      <c r="B14" t="s">
        <v>22</v>
      </c>
      <c r="C14" t="s">
        <v>36</v>
      </c>
      <c r="D14">
        <v>5</v>
      </c>
      <c r="E14" s="1">
        <v>1</v>
      </c>
      <c r="F14" s="1">
        <v>2</v>
      </c>
      <c r="G14" s="1">
        <v>2</v>
      </c>
      <c r="H14" s="1">
        <v>0</v>
      </c>
      <c r="I14" s="3">
        <f t="shared" si="0"/>
        <v>0.31</v>
      </c>
      <c r="J14" s="3">
        <f t="shared" si="1"/>
        <v>0.26495726495726496</v>
      </c>
    </row>
    <row r="15" spans="1:10" x14ac:dyDescent="0.3">
      <c r="A15">
        <v>14</v>
      </c>
      <c r="B15" t="s">
        <v>23</v>
      </c>
      <c r="C15" t="s">
        <v>36</v>
      </c>
      <c r="D15">
        <v>5</v>
      </c>
      <c r="E15" s="1">
        <v>2</v>
      </c>
      <c r="F15" s="1">
        <v>3</v>
      </c>
      <c r="G15" s="1">
        <v>1</v>
      </c>
      <c r="H15" s="1">
        <v>0</v>
      </c>
      <c r="I15" s="3">
        <f t="shared" si="0"/>
        <v>0.42</v>
      </c>
      <c r="J15" s="3">
        <f t="shared" si="1"/>
        <v>0.35897435897435898</v>
      </c>
    </row>
    <row r="16" spans="1:10" x14ac:dyDescent="0.3">
      <c r="A16">
        <v>15</v>
      </c>
      <c r="B16" t="s">
        <v>24</v>
      </c>
      <c r="C16" t="s">
        <v>36</v>
      </c>
      <c r="D16">
        <v>6</v>
      </c>
      <c r="E16" s="1">
        <v>4</v>
      </c>
      <c r="F16" s="1">
        <v>6</v>
      </c>
      <c r="G16" s="1">
        <v>1</v>
      </c>
      <c r="H16" s="1">
        <v>1</v>
      </c>
      <c r="I16" s="3">
        <f t="shared" si="0"/>
        <v>0.83000000000000007</v>
      </c>
      <c r="J16" s="3">
        <f t="shared" si="1"/>
        <v>0.70940170940170955</v>
      </c>
    </row>
    <row r="17" spans="1:10" x14ac:dyDescent="0.3">
      <c r="A17">
        <v>16</v>
      </c>
      <c r="B17" t="s">
        <v>25</v>
      </c>
      <c r="C17" t="s">
        <v>36</v>
      </c>
      <c r="D17">
        <v>7</v>
      </c>
      <c r="E17" s="1">
        <v>2</v>
      </c>
      <c r="F17" s="1">
        <v>3</v>
      </c>
      <c r="G17" s="1">
        <v>1</v>
      </c>
      <c r="H17" s="1">
        <v>1</v>
      </c>
      <c r="I17" s="3">
        <f t="shared" si="0"/>
        <v>0.44999999999999996</v>
      </c>
      <c r="J17" s="3">
        <f t="shared" si="1"/>
        <v>0.38461538461538458</v>
      </c>
    </row>
    <row r="18" spans="1:10" x14ac:dyDescent="0.3">
      <c r="A18">
        <v>17</v>
      </c>
      <c r="B18" t="s">
        <v>26</v>
      </c>
      <c r="C18" t="s">
        <v>36</v>
      </c>
      <c r="D18">
        <v>7</v>
      </c>
      <c r="E18" s="1">
        <v>2</v>
      </c>
      <c r="F18" s="1">
        <v>3</v>
      </c>
      <c r="G18" s="1">
        <v>1</v>
      </c>
      <c r="H18" s="1">
        <v>1</v>
      </c>
      <c r="I18" s="3">
        <f t="shared" si="0"/>
        <v>0.44999999999999996</v>
      </c>
      <c r="J18" s="3">
        <f t="shared" si="1"/>
        <v>0.38461538461538458</v>
      </c>
    </row>
    <row r="19" spans="1:10" x14ac:dyDescent="0.3">
      <c r="A19">
        <v>18</v>
      </c>
      <c r="B19" t="s">
        <v>27</v>
      </c>
      <c r="C19" t="s">
        <v>36</v>
      </c>
      <c r="D19">
        <v>8</v>
      </c>
      <c r="E19" s="1">
        <v>3</v>
      </c>
      <c r="F19" s="1">
        <v>4</v>
      </c>
      <c r="G19" s="1">
        <v>1</v>
      </c>
      <c r="H19" s="1">
        <v>0</v>
      </c>
      <c r="I19" s="3">
        <f t="shared" si="0"/>
        <v>0.57000000000000006</v>
      </c>
      <c r="J19" s="3">
        <f t="shared" si="1"/>
        <v>0.48717948717948728</v>
      </c>
    </row>
    <row r="20" spans="1:10" x14ac:dyDescent="0.3">
      <c r="A20">
        <v>19</v>
      </c>
      <c r="B20" t="s">
        <v>28</v>
      </c>
      <c r="C20" t="s">
        <v>36</v>
      </c>
      <c r="D20">
        <v>8</v>
      </c>
      <c r="E20" s="1">
        <v>3</v>
      </c>
      <c r="F20" s="1">
        <v>4</v>
      </c>
      <c r="G20" s="1">
        <v>1</v>
      </c>
      <c r="H20" s="1">
        <v>1</v>
      </c>
      <c r="I20" s="3">
        <f t="shared" si="0"/>
        <v>0.60000000000000009</v>
      </c>
      <c r="J20" s="3">
        <f t="shared" si="1"/>
        <v>0.51282051282051289</v>
      </c>
    </row>
    <row r="21" spans="1:10" x14ac:dyDescent="0.3">
      <c r="A21">
        <v>20</v>
      </c>
      <c r="B21" t="s">
        <v>29</v>
      </c>
      <c r="C21" t="s">
        <v>36</v>
      </c>
      <c r="D21">
        <v>9</v>
      </c>
      <c r="E21" s="1">
        <v>6</v>
      </c>
      <c r="F21" s="1">
        <v>15</v>
      </c>
      <c r="G21" s="1">
        <v>3</v>
      </c>
      <c r="H21" s="1">
        <v>3</v>
      </c>
      <c r="I21" s="3">
        <f t="shared" si="0"/>
        <v>1.8300000000000003</v>
      </c>
      <c r="J21" s="3">
        <f t="shared" si="1"/>
        <v>1.5641025641025645</v>
      </c>
    </row>
    <row r="22" spans="1:10" x14ac:dyDescent="0.3">
      <c r="A22">
        <v>21</v>
      </c>
      <c r="B22" t="s">
        <v>30</v>
      </c>
      <c r="C22" t="s">
        <v>36</v>
      </c>
      <c r="D22">
        <v>10</v>
      </c>
      <c r="E22" s="1">
        <v>4</v>
      </c>
      <c r="F22" s="1">
        <v>6</v>
      </c>
      <c r="G22" s="1">
        <v>1</v>
      </c>
      <c r="H22" s="1">
        <v>1</v>
      </c>
      <c r="I22" s="3">
        <f t="shared" si="0"/>
        <v>0.83000000000000007</v>
      </c>
      <c r="J22" s="3">
        <f t="shared" si="1"/>
        <v>0.70940170940170955</v>
      </c>
    </row>
    <row r="23" spans="1:10" x14ac:dyDescent="0.3">
      <c r="A23">
        <v>22</v>
      </c>
      <c r="B23" t="s">
        <v>31</v>
      </c>
      <c r="C23" t="s">
        <v>36</v>
      </c>
      <c r="D23">
        <v>11</v>
      </c>
      <c r="E23" s="1">
        <v>4</v>
      </c>
      <c r="F23" s="1">
        <v>6</v>
      </c>
      <c r="G23" s="1">
        <v>1</v>
      </c>
      <c r="H23" s="1">
        <v>1</v>
      </c>
      <c r="I23" s="3">
        <f t="shared" si="0"/>
        <v>0.83000000000000007</v>
      </c>
      <c r="J23" s="3">
        <f t="shared" si="1"/>
        <v>0.70940170940170955</v>
      </c>
    </row>
    <row r="24" spans="1:10" x14ac:dyDescent="0.3">
      <c r="A24" s="5">
        <v>23</v>
      </c>
      <c r="B24" s="5" t="s">
        <v>32</v>
      </c>
      <c r="C24" s="5" t="s">
        <v>36</v>
      </c>
      <c r="D24" s="5">
        <v>11</v>
      </c>
      <c r="E24" s="1">
        <v>4</v>
      </c>
      <c r="F24" s="1">
        <v>6</v>
      </c>
      <c r="G24" s="1">
        <v>2</v>
      </c>
      <c r="H24" s="1">
        <v>1</v>
      </c>
      <c r="I24" s="6">
        <f t="shared" si="0"/>
        <v>0.87</v>
      </c>
      <c r="J24" s="6">
        <f t="shared" si="1"/>
        <v>0.74358974358974361</v>
      </c>
    </row>
    <row r="25" spans="1:10" x14ac:dyDescent="0.3">
      <c r="A25">
        <v>24</v>
      </c>
      <c r="B25" t="s">
        <v>33</v>
      </c>
      <c r="C25" t="s">
        <v>34</v>
      </c>
      <c r="D25">
        <v>1</v>
      </c>
      <c r="E25" s="2">
        <v>1</v>
      </c>
      <c r="F25" s="2">
        <v>1</v>
      </c>
      <c r="G25" s="2"/>
      <c r="H25" s="2"/>
      <c r="I25" s="3">
        <f t="shared" si="0"/>
        <v>0.15000000000000002</v>
      </c>
      <c r="J25" s="3">
        <f t="shared" si="1"/>
        <v>0.12820512820512822</v>
      </c>
    </row>
    <row r="26" spans="1:10" x14ac:dyDescent="0.3">
      <c r="A26">
        <v>25</v>
      </c>
      <c r="B26" t="s">
        <v>35</v>
      </c>
      <c r="C26" t="s">
        <v>34</v>
      </c>
      <c r="D26">
        <v>1</v>
      </c>
      <c r="E26" s="1">
        <v>1</v>
      </c>
      <c r="F26" s="1">
        <v>1</v>
      </c>
      <c r="G26" s="1"/>
      <c r="H26" s="1"/>
      <c r="I26" s="3">
        <f t="shared" si="0"/>
        <v>0.15000000000000002</v>
      </c>
      <c r="J26" s="3">
        <f t="shared" si="1"/>
        <v>0.12820512820512822</v>
      </c>
    </row>
    <row r="27" spans="1:10" x14ac:dyDescent="0.3">
      <c r="A27">
        <v>26</v>
      </c>
      <c r="B27" t="s">
        <v>37</v>
      </c>
      <c r="C27" t="s">
        <v>34</v>
      </c>
      <c r="D27">
        <v>1</v>
      </c>
      <c r="E27" s="1">
        <v>1</v>
      </c>
      <c r="F27" s="1">
        <v>1</v>
      </c>
      <c r="G27" s="1"/>
      <c r="H27" s="1"/>
      <c r="I27" s="3">
        <f t="shared" si="0"/>
        <v>0.15000000000000002</v>
      </c>
      <c r="J27" s="3">
        <f t="shared" si="1"/>
        <v>0.12820512820512822</v>
      </c>
    </row>
    <row r="28" spans="1:10" x14ac:dyDescent="0.3">
      <c r="A28">
        <v>27</v>
      </c>
      <c r="B28" t="s">
        <v>38</v>
      </c>
      <c r="C28" t="s">
        <v>34</v>
      </c>
      <c r="D28">
        <v>2</v>
      </c>
      <c r="E28" s="1">
        <v>1</v>
      </c>
      <c r="F28" s="1">
        <v>1</v>
      </c>
      <c r="G28" s="1"/>
      <c r="H28" s="1"/>
      <c r="I28" s="3">
        <f t="shared" si="0"/>
        <v>0.15000000000000002</v>
      </c>
      <c r="J28" s="3">
        <f t="shared" si="1"/>
        <v>0.12820512820512822</v>
      </c>
    </row>
    <row r="29" spans="1:10" x14ac:dyDescent="0.3">
      <c r="A29">
        <v>28</v>
      </c>
      <c r="B29" t="s">
        <v>39</v>
      </c>
      <c r="C29" t="s">
        <v>34</v>
      </c>
      <c r="D29">
        <v>2</v>
      </c>
      <c r="E29" s="1">
        <v>1</v>
      </c>
      <c r="F29" s="1">
        <v>1</v>
      </c>
      <c r="G29" s="1"/>
      <c r="H29" s="1"/>
      <c r="I29" s="3">
        <f t="shared" si="0"/>
        <v>0.15000000000000002</v>
      </c>
      <c r="J29" s="3">
        <f t="shared" si="1"/>
        <v>0.12820512820512822</v>
      </c>
    </row>
    <row r="30" spans="1:10" x14ac:dyDescent="0.3">
      <c r="A30">
        <v>29</v>
      </c>
      <c r="B30" t="s">
        <v>40</v>
      </c>
      <c r="C30" t="s">
        <v>34</v>
      </c>
      <c r="D30">
        <v>3</v>
      </c>
      <c r="E30" s="1">
        <v>1</v>
      </c>
      <c r="F30" s="1">
        <v>1</v>
      </c>
      <c r="G30" s="1"/>
      <c r="H30" s="1"/>
      <c r="I30" s="3">
        <f t="shared" si="0"/>
        <v>0.15000000000000002</v>
      </c>
      <c r="J30" s="3">
        <f t="shared" si="1"/>
        <v>0.12820512820512822</v>
      </c>
    </row>
    <row r="31" spans="1:10" x14ac:dyDescent="0.3">
      <c r="A31">
        <v>30</v>
      </c>
      <c r="B31" t="s">
        <v>37</v>
      </c>
      <c r="C31" t="s">
        <v>41</v>
      </c>
      <c r="D31">
        <v>1</v>
      </c>
      <c r="E31" s="1">
        <v>1</v>
      </c>
      <c r="F31" s="1">
        <v>1</v>
      </c>
      <c r="G31" s="1"/>
      <c r="H31" s="1"/>
      <c r="I31" s="3">
        <f t="shared" si="0"/>
        <v>0.15000000000000002</v>
      </c>
      <c r="J31" s="3">
        <f t="shared" si="1"/>
        <v>0.12820512820512822</v>
      </c>
    </row>
    <row r="32" spans="1:10" x14ac:dyDescent="0.3">
      <c r="A32">
        <v>31</v>
      </c>
      <c r="B32" t="s">
        <v>47</v>
      </c>
      <c r="C32" t="s">
        <v>41</v>
      </c>
      <c r="D32">
        <v>2</v>
      </c>
      <c r="E32" s="1">
        <v>2</v>
      </c>
      <c r="F32" s="1">
        <v>2</v>
      </c>
      <c r="G32" s="1"/>
      <c r="H32" s="1"/>
      <c r="I32" s="3">
        <f t="shared" si="0"/>
        <v>0.30000000000000004</v>
      </c>
      <c r="J32" s="3">
        <f t="shared" si="1"/>
        <v>0.25641025641025644</v>
      </c>
    </row>
    <row r="33" spans="1:10" x14ac:dyDescent="0.3">
      <c r="A33">
        <v>32</v>
      </c>
      <c r="B33" t="s">
        <v>42</v>
      </c>
      <c r="C33" t="s">
        <v>41</v>
      </c>
      <c r="D33">
        <v>4</v>
      </c>
      <c r="E33" s="1">
        <v>2</v>
      </c>
      <c r="F33" s="1">
        <v>4</v>
      </c>
      <c r="G33" s="1"/>
      <c r="H33" s="1"/>
      <c r="I33" s="3">
        <f t="shared" si="0"/>
        <v>0.46</v>
      </c>
      <c r="J33" s="3">
        <f t="shared" si="1"/>
        <v>0.39316239316239321</v>
      </c>
    </row>
    <row r="34" spans="1:10" x14ac:dyDescent="0.3">
      <c r="A34">
        <v>33</v>
      </c>
      <c r="B34" t="s">
        <v>43</v>
      </c>
      <c r="C34" t="s">
        <v>41</v>
      </c>
      <c r="D34">
        <v>4</v>
      </c>
      <c r="E34" s="1">
        <v>2</v>
      </c>
      <c r="F34" s="1">
        <v>4</v>
      </c>
      <c r="G34" s="1">
        <v>1</v>
      </c>
      <c r="H34" s="1">
        <v>1</v>
      </c>
      <c r="I34" s="3">
        <f t="shared" si="0"/>
        <v>0.53</v>
      </c>
      <c r="J34" s="3">
        <f t="shared" si="1"/>
        <v>0.45299145299145305</v>
      </c>
    </row>
    <row r="35" spans="1:10" x14ac:dyDescent="0.3">
      <c r="A35">
        <v>34</v>
      </c>
      <c r="B35" t="s">
        <v>44</v>
      </c>
      <c r="C35" t="s">
        <v>41</v>
      </c>
      <c r="D35">
        <v>5</v>
      </c>
      <c r="E35" s="1">
        <v>1</v>
      </c>
      <c r="F35" s="1">
        <v>1</v>
      </c>
      <c r="G35" s="1">
        <v>1</v>
      </c>
      <c r="H35" s="1">
        <v>1</v>
      </c>
      <c r="I35" s="3">
        <f t="shared" si="0"/>
        <v>0.22000000000000003</v>
      </c>
      <c r="J35" s="3">
        <f t="shared" si="1"/>
        <v>0.18803418803418806</v>
      </c>
    </row>
    <row r="36" spans="1:10" x14ac:dyDescent="0.3">
      <c r="A36">
        <v>35</v>
      </c>
      <c r="B36" t="s">
        <v>45</v>
      </c>
      <c r="C36" t="s">
        <v>46</v>
      </c>
      <c r="D36">
        <v>0</v>
      </c>
      <c r="E36" s="1">
        <v>1</v>
      </c>
      <c r="F36" s="1">
        <v>1</v>
      </c>
      <c r="G36" s="1"/>
      <c r="H36" s="1"/>
      <c r="I36" s="3">
        <f t="shared" si="0"/>
        <v>0.15000000000000002</v>
      </c>
      <c r="J36" s="3">
        <f t="shared" si="1"/>
        <v>0.12820512820512822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7D50F-B584-4993-A709-E53ED14D9521}">
  <dimension ref="A1:AK37"/>
  <sheetViews>
    <sheetView tabSelected="1" zoomScale="90" zoomScaleNormal="90"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O24" sqref="O24"/>
    </sheetView>
  </sheetViews>
  <sheetFormatPr defaultRowHeight="14.4" x14ac:dyDescent="0.3"/>
  <cols>
    <col min="1" max="1" width="3.33203125" bestFit="1" customWidth="1"/>
    <col min="2" max="2" width="21.6640625" bestFit="1" customWidth="1"/>
    <col min="3" max="3" width="5" bestFit="1" customWidth="1"/>
    <col min="4" max="4" width="15.44140625" bestFit="1" customWidth="1"/>
    <col min="5" max="5" width="5.21875" bestFit="1" customWidth="1"/>
    <col min="6" max="6" width="8.77734375" bestFit="1" customWidth="1"/>
    <col min="7" max="7" width="10.44140625" bestFit="1" customWidth="1"/>
    <col min="8" max="8" width="16" bestFit="1" customWidth="1"/>
    <col min="9" max="9" width="8.21875" bestFit="1" customWidth="1"/>
    <col min="10" max="10" width="11.44140625" bestFit="1" customWidth="1"/>
    <col min="11" max="11" width="8.21875" bestFit="1" customWidth="1"/>
    <col min="12" max="12" width="17.44140625" bestFit="1" customWidth="1"/>
    <col min="13" max="13" width="11.21875" bestFit="1" customWidth="1"/>
    <col min="14" max="14" width="9.88671875" bestFit="1" customWidth="1"/>
    <col min="16" max="16" width="10.5546875" bestFit="1" customWidth="1"/>
    <col min="18" max="18" width="16.44140625" bestFit="1" customWidth="1"/>
    <col min="19" max="19" width="17.44140625" bestFit="1" customWidth="1"/>
    <col min="20" max="20" width="15.21875" bestFit="1" customWidth="1"/>
    <col min="21" max="21" width="16.5546875" bestFit="1" customWidth="1"/>
    <col min="22" max="22" width="16.33203125" bestFit="1" customWidth="1"/>
    <col min="23" max="23" width="17.44140625" bestFit="1" customWidth="1"/>
    <col min="24" max="24" width="12.21875" bestFit="1" customWidth="1"/>
    <col min="25" max="25" width="21.6640625" bestFit="1" customWidth="1"/>
    <col min="26" max="26" width="4.6640625" bestFit="1" customWidth="1"/>
    <col min="27" max="27" width="13.6640625" bestFit="1" customWidth="1"/>
    <col min="28" max="28" width="12.77734375" bestFit="1" customWidth="1"/>
    <col min="29" max="29" width="13.33203125" bestFit="1" customWidth="1"/>
    <col min="30" max="30" width="12.44140625" bestFit="1" customWidth="1"/>
    <col min="31" max="31" width="9.44140625" bestFit="1" customWidth="1"/>
    <col min="32" max="32" width="12.77734375" bestFit="1" customWidth="1"/>
    <col min="33" max="33" width="16.33203125" bestFit="1" customWidth="1"/>
    <col min="34" max="34" width="4.5546875" bestFit="1" customWidth="1"/>
    <col min="35" max="35" width="9.33203125" bestFit="1" customWidth="1"/>
    <col min="36" max="36" width="12.109375" bestFit="1" customWidth="1"/>
    <col min="37" max="37" width="6.33203125" bestFit="1" customWidth="1"/>
  </cols>
  <sheetData>
    <row r="1" spans="1:37" x14ac:dyDescent="0.3">
      <c r="C1" s="19">
        <v>1</v>
      </c>
      <c r="D1" s="20">
        <v>2</v>
      </c>
      <c r="E1" s="21">
        <v>3</v>
      </c>
      <c r="F1" s="20">
        <v>4</v>
      </c>
      <c r="G1" s="21">
        <v>5</v>
      </c>
      <c r="H1" s="20">
        <v>6</v>
      </c>
      <c r="I1" s="21">
        <v>7</v>
      </c>
      <c r="J1" s="20">
        <v>8</v>
      </c>
      <c r="K1" s="21">
        <v>9</v>
      </c>
      <c r="L1" s="20">
        <v>10</v>
      </c>
      <c r="M1" s="21">
        <v>11</v>
      </c>
      <c r="N1" s="20">
        <v>12</v>
      </c>
      <c r="O1" s="21">
        <v>13</v>
      </c>
      <c r="P1" s="20">
        <v>14</v>
      </c>
      <c r="Q1" s="21">
        <v>15</v>
      </c>
      <c r="R1" s="20">
        <v>16</v>
      </c>
      <c r="S1" s="21">
        <v>17</v>
      </c>
      <c r="T1" s="20">
        <v>18</v>
      </c>
      <c r="U1" s="21">
        <v>19</v>
      </c>
      <c r="V1" s="20">
        <v>20</v>
      </c>
      <c r="W1" s="21">
        <v>21</v>
      </c>
      <c r="X1" s="20">
        <v>22</v>
      </c>
      <c r="Y1" s="22">
        <v>23</v>
      </c>
      <c r="Z1" s="20">
        <v>24</v>
      </c>
      <c r="AA1" s="21">
        <v>25</v>
      </c>
      <c r="AB1" s="20">
        <v>26</v>
      </c>
      <c r="AC1" s="21">
        <v>27</v>
      </c>
      <c r="AD1" s="20">
        <v>28</v>
      </c>
      <c r="AE1" s="21">
        <v>29</v>
      </c>
      <c r="AF1" s="20">
        <v>30</v>
      </c>
      <c r="AG1" s="21">
        <v>31</v>
      </c>
      <c r="AH1" s="20">
        <v>32</v>
      </c>
      <c r="AI1" s="21">
        <v>33</v>
      </c>
      <c r="AJ1" s="20">
        <v>34</v>
      </c>
      <c r="AK1" s="21">
        <v>35</v>
      </c>
    </row>
    <row r="2" spans="1:37" x14ac:dyDescent="0.3">
      <c r="C2" s="14" t="s">
        <v>9</v>
      </c>
      <c r="D2" s="10" t="s">
        <v>10</v>
      </c>
      <c r="E2" s="8" t="s">
        <v>11</v>
      </c>
      <c r="F2" s="10" t="s">
        <v>12</v>
      </c>
      <c r="G2" s="8" t="s">
        <v>13</v>
      </c>
      <c r="H2" s="10" t="s">
        <v>14</v>
      </c>
      <c r="I2" s="8" t="s">
        <v>15</v>
      </c>
      <c r="J2" s="10" t="s">
        <v>17</v>
      </c>
      <c r="K2" s="8" t="s">
        <v>18</v>
      </c>
      <c r="L2" s="10" t="s">
        <v>19</v>
      </c>
      <c r="M2" s="8" t="s">
        <v>20</v>
      </c>
      <c r="N2" s="10" t="s">
        <v>21</v>
      </c>
      <c r="O2" s="8" t="s">
        <v>22</v>
      </c>
      <c r="P2" s="10" t="s">
        <v>23</v>
      </c>
      <c r="Q2" s="8" t="s">
        <v>24</v>
      </c>
      <c r="R2" s="10" t="s">
        <v>25</v>
      </c>
      <c r="S2" s="8" t="s">
        <v>26</v>
      </c>
      <c r="T2" s="10" t="s">
        <v>27</v>
      </c>
      <c r="U2" s="8" t="s">
        <v>28</v>
      </c>
      <c r="V2" s="10" t="s">
        <v>29</v>
      </c>
      <c r="W2" s="8" t="s">
        <v>30</v>
      </c>
      <c r="X2" s="10" t="s">
        <v>31</v>
      </c>
      <c r="Y2" s="12" t="s">
        <v>32</v>
      </c>
      <c r="Z2" s="10" t="s">
        <v>33</v>
      </c>
      <c r="AA2" s="8" t="s">
        <v>35</v>
      </c>
      <c r="AB2" s="10" t="s">
        <v>37</v>
      </c>
      <c r="AC2" s="8" t="s">
        <v>38</v>
      </c>
      <c r="AD2" s="10" t="s">
        <v>39</v>
      </c>
      <c r="AE2" s="8" t="s">
        <v>40</v>
      </c>
      <c r="AF2" s="10" t="s">
        <v>37</v>
      </c>
      <c r="AG2" s="8" t="s">
        <v>47</v>
      </c>
      <c r="AH2" s="10" t="s">
        <v>42</v>
      </c>
      <c r="AI2" s="8" t="s">
        <v>43</v>
      </c>
      <c r="AJ2" s="10" t="s">
        <v>44</v>
      </c>
      <c r="AK2" s="8" t="s">
        <v>45</v>
      </c>
    </row>
    <row r="3" spans="1:37" s="15" customFormat="1" x14ac:dyDescent="0.3">
      <c r="A3" s="13">
        <v>1</v>
      </c>
      <c r="B3" s="23" t="s">
        <v>9</v>
      </c>
      <c r="C3" s="16"/>
      <c r="D3" s="16">
        <v>0</v>
      </c>
      <c r="E3" s="16">
        <v>0</v>
      </c>
      <c r="F3" s="17">
        <v>0</v>
      </c>
      <c r="G3" s="17">
        <v>0</v>
      </c>
      <c r="H3" s="17">
        <v>0</v>
      </c>
      <c r="I3" s="17">
        <v>0</v>
      </c>
      <c r="J3" s="17">
        <v>0</v>
      </c>
      <c r="K3" s="17">
        <v>2</v>
      </c>
      <c r="L3" s="17">
        <v>2</v>
      </c>
      <c r="M3" s="17">
        <v>2</v>
      </c>
      <c r="N3" s="17">
        <v>3</v>
      </c>
      <c r="O3" s="17">
        <v>3</v>
      </c>
      <c r="P3" s="17">
        <v>3</v>
      </c>
      <c r="Q3" s="18">
        <v>4</v>
      </c>
      <c r="R3" s="18">
        <v>5</v>
      </c>
      <c r="S3" s="18">
        <v>5</v>
      </c>
      <c r="T3" s="18">
        <v>6</v>
      </c>
      <c r="U3" s="18">
        <v>6</v>
      </c>
      <c r="V3" s="18">
        <v>7</v>
      </c>
      <c r="W3" s="18">
        <v>8</v>
      </c>
      <c r="X3" s="18">
        <v>9</v>
      </c>
      <c r="Y3" s="18">
        <v>9</v>
      </c>
      <c r="Z3" s="18">
        <f>9+2</f>
        <v>11</v>
      </c>
      <c r="AA3" s="18">
        <f>9+2</f>
        <v>11</v>
      </c>
      <c r="AB3" s="18">
        <f>9+2</f>
        <v>11</v>
      </c>
      <c r="AC3" s="18">
        <v>12</v>
      </c>
      <c r="AD3" s="18">
        <v>12</v>
      </c>
      <c r="AE3" s="18">
        <v>13</v>
      </c>
      <c r="AF3" s="18">
        <v>11</v>
      </c>
      <c r="AG3" s="18">
        <v>11</v>
      </c>
      <c r="AH3" s="18">
        <v>13</v>
      </c>
      <c r="AI3" s="18">
        <v>13</v>
      </c>
      <c r="AJ3" s="18">
        <f>AI3+1</f>
        <v>14</v>
      </c>
      <c r="AK3" s="18">
        <f>9+2</f>
        <v>11</v>
      </c>
    </row>
    <row r="4" spans="1:37" x14ac:dyDescent="0.3">
      <c r="A4" s="9">
        <v>2</v>
      </c>
      <c r="B4" s="24" t="s">
        <v>10</v>
      </c>
      <c r="C4" s="16">
        <v>0</v>
      </c>
      <c r="D4" s="16"/>
      <c r="E4" s="16">
        <v>0</v>
      </c>
      <c r="F4" s="17">
        <v>0</v>
      </c>
      <c r="G4" s="17">
        <v>0</v>
      </c>
      <c r="H4" s="17">
        <v>0</v>
      </c>
      <c r="I4" s="17">
        <v>0</v>
      </c>
      <c r="J4" s="17">
        <v>0</v>
      </c>
      <c r="K4" s="17">
        <v>2</v>
      </c>
      <c r="L4" s="17">
        <v>2</v>
      </c>
      <c r="M4" s="17">
        <v>2</v>
      </c>
      <c r="N4" s="17">
        <v>3</v>
      </c>
      <c r="O4" s="17">
        <v>3</v>
      </c>
      <c r="P4" s="17">
        <v>3</v>
      </c>
      <c r="Q4" s="18">
        <v>4</v>
      </c>
      <c r="R4" s="18">
        <v>5</v>
      </c>
      <c r="S4" s="18">
        <v>5</v>
      </c>
      <c r="T4" s="18">
        <v>6</v>
      </c>
      <c r="U4" s="18">
        <v>6</v>
      </c>
      <c r="V4" s="18">
        <v>7</v>
      </c>
      <c r="W4" s="18">
        <v>8</v>
      </c>
      <c r="X4" s="18">
        <v>9</v>
      </c>
      <c r="Y4" s="18">
        <v>9</v>
      </c>
      <c r="Z4" s="18">
        <f>9+2</f>
        <v>11</v>
      </c>
      <c r="AA4" s="18">
        <f>9+2</f>
        <v>11</v>
      </c>
      <c r="AB4" s="18">
        <f>9+2</f>
        <v>11</v>
      </c>
      <c r="AC4" s="18">
        <v>12</v>
      </c>
      <c r="AD4" s="18">
        <v>12</v>
      </c>
      <c r="AE4" s="18">
        <v>13</v>
      </c>
      <c r="AF4" s="18">
        <v>11</v>
      </c>
      <c r="AG4" s="18">
        <v>11</v>
      </c>
      <c r="AH4" s="18">
        <v>13</v>
      </c>
      <c r="AI4" s="18">
        <v>13</v>
      </c>
      <c r="AJ4" s="18">
        <f>AI4+1</f>
        <v>14</v>
      </c>
      <c r="AK4" s="18">
        <f>9+2</f>
        <v>11</v>
      </c>
    </row>
    <row r="5" spans="1:37" x14ac:dyDescent="0.3">
      <c r="A5" s="7">
        <v>3</v>
      </c>
      <c r="B5" s="25" t="s">
        <v>11</v>
      </c>
      <c r="C5" s="16">
        <v>0</v>
      </c>
      <c r="D5" s="16">
        <v>0</v>
      </c>
      <c r="E5" s="16"/>
      <c r="F5" s="17">
        <v>0</v>
      </c>
      <c r="G5" s="17">
        <v>0</v>
      </c>
      <c r="H5" s="17">
        <v>0</v>
      </c>
      <c r="I5" s="17">
        <v>0</v>
      </c>
      <c r="J5" s="17">
        <v>0</v>
      </c>
      <c r="K5" s="17">
        <v>2</v>
      </c>
      <c r="L5" s="17">
        <v>2</v>
      </c>
      <c r="M5" s="17">
        <v>2</v>
      </c>
      <c r="N5" s="17">
        <v>3</v>
      </c>
      <c r="O5" s="17">
        <v>3</v>
      </c>
      <c r="P5" s="17">
        <v>3</v>
      </c>
      <c r="Q5" s="18">
        <v>4</v>
      </c>
      <c r="R5" s="18">
        <v>5</v>
      </c>
      <c r="S5" s="18">
        <v>5</v>
      </c>
      <c r="T5" s="18">
        <v>6</v>
      </c>
      <c r="U5" s="18">
        <v>6</v>
      </c>
      <c r="V5" s="18">
        <v>7</v>
      </c>
      <c r="W5" s="18">
        <v>8</v>
      </c>
      <c r="X5" s="18">
        <v>9</v>
      </c>
      <c r="Y5" s="18">
        <v>9</v>
      </c>
      <c r="Z5" s="18">
        <f>9+2</f>
        <v>11</v>
      </c>
      <c r="AA5" s="18">
        <f>9+2</f>
        <v>11</v>
      </c>
      <c r="AB5" s="18">
        <f>9+2</f>
        <v>11</v>
      </c>
      <c r="AC5" s="18">
        <v>12</v>
      </c>
      <c r="AD5" s="18">
        <v>12</v>
      </c>
      <c r="AE5" s="18">
        <v>13</v>
      </c>
      <c r="AF5" s="18">
        <v>11</v>
      </c>
      <c r="AG5" s="18">
        <v>11</v>
      </c>
      <c r="AH5" s="18">
        <v>13</v>
      </c>
      <c r="AI5" s="18">
        <v>13</v>
      </c>
      <c r="AJ5" s="18">
        <f>AI5+1</f>
        <v>14</v>
      </c>
      <c r="AK5" s="18">
        <f>9+2</f>
        <v>11</v>
      </c>
    </row>
    <row r="6" spans="1:37" x14ac:dyDescent="0.3">
      <c r="A6" s="9">
        <v>4</v>
      </c>
      <c r="B6" s="24" t="s">
        <v>12</v>
      </c>
      <c r="C6" s="16">
        <v>0</v>
      </c>
      <c r="D6" s="16">
        <v>0</v>
      </c>
      <c r="E6" s="16">
        <v>0</v>
      </c>
      <c r="F6" s="17"/>
      <c r="G6" s="17">
        <v>0</v>
      </c>
      <c r="H6" s="17">
        <v>0</v>
      </c>
      <c r="I6" s="17">
        <v>0</v>
      </c>
      <c r="J6" s="17">
        <v>0</v>
      </c>
      <c r="K6" s="17">
        <v>2</v>
      </c>
      <c r="L6" s="17">
        <v>2</v>
      </c>
      <c r="M6" s="17">
        <v>2</v>
      </c>
      <c r="N6" s="17">
        <v>3</v>
      </c>
      <c r="O6" s="17">
        <v>3</v>
      </c>
      <c r="P6" s="17">
        <v>3</v>
      </c>
      <c r="Q6" s="18">
        <v>4</v>
      </c>
      <c r="R6" s="18">
        <v>5</v>
      </c>
      <c r="S6" s="18">
        <v>5</v>
      </c>
      <c r="T6" s="18">
        <v>6</v>
      </c>
      <c r="U6" s="18">
        <v>6</v>
      </c>
      <c r="V6" s="18">
        <v>7</v>
      </c>
      <c r="W6" s="18">
        <v>8</v>
      </c>
      <c r="X6" s="18">
        <v>9</v>
      </c>
      <c r="Y6" s="18">
        <v>9</v>
      </c>
      <c r="Z6" s="18">
        <f>9+2</f>
        <v>11</v>
      </c>
      <c r="AA6" s="18">
        <f>9+2</f>
        <v>11</v>
      </c>
      <c r="AB6" s="18">
        <f>9+2</f>
        <v>11</v>
      </c>
      <c r="AC6" s="18">
        <v>12</v>
      </c>
      <c r="AD6" s="18">
        <v>12</v>
      </c>
      <c r="AE6" s="18">
        <v>13</v>
      </c>
      <c r="AF6" s="18">
        <v>11</v>
      </c>
      <c r="AG6" s="18">
        <v>11</v>
      </c>
      <c r="AH6" s="18">
        <v>13</v>
      </c>
      <c r="AI6" s="18">
        <v>13</v>
      </c>
      <c r="AJ6" s="18">
        <f>AI6+1</f>
        <v>14</v>
      </c>
      <c r="AK6" s="18">
        <f>9+2</f>
        <v>11</v>
      </c>
    </row>
    <row r="7" spans="1:37" x14ac:dyDescent="0.3">
      <c r="A7" s="7">
        <v>5</v>
      </c>
      <c r="B7" s="25" t="s">
        <v>13</v>
      </c>
      <c r="C7" s="16">
        <v>0</v>
      </c>
      <c r="D7" s="16">
        <v>0</v>
      </c>
      <c r="E7" s="16">
        <v>0</v>
      </c>
      <c r="F7" s="17">
        <v>0</v>
      </c>
      <c r="G7" s="17"/>
      <c r="H7" s="17">
        <v>0</v>
      </c>
      <c r="I7" s="17">
        <v>0</v>
      </c>
      <c r="J7" s="17">
        <v>0</v>
      </c>
      <c r="K7" s="17">
        <v>2</v>
      </c>
      <c r="L7" s="17">
        <v>2</v>
      </c>
      <c r="M7" s="17">
        <v>2</v>
      </c>
      <c r="N7" s="17">
        <v>3</v>
      </c>
      <c r="O7" s="17">
        <v>3</v>
      </c>
      <c r="P7" s="17">
        <v>3</v>
      </c>
      <c r="Q7" s="18">
        <v>4</v>
      </c>
      <c r="R7" s="18">
        <v>5</v>
      </c>
      <c r="S7" s="18">
        <v>5</v>
      </c>
      <c r="T7" s="18">
        <v>6</v>
      </c>
      <c r="U7" s="18">
        <v>6</v>
      </c>
      <c r="V7" s="18">
        <v>7</v>
      </c>
      <c r="W7" s="18">
        <v>8</v>
      </c>
      <c r="X7" s="18">
        <v>9</v>
      </c>
      <c r="Y7" s="18">
        <v>9</v>
      </c>
      <c r="Z7" s="18">
        <f>9+2</f>
        <v>11</v>
      </c>
      <c r="AA7" s="18">
        <f>9+2</f>
        <v>11</v>
      </c>
      <c r="AB7" s="18">
        <f>9+2</f>
        <v>11</v>
      </c>
      <c r="AC7" s="18">
        <v>12</v>
      </c>
      <c r="AD7" s="18">
        <v>12</v>
      </c>
      <c r="AE7" s="18">
        <v>13</v>
      </c>
      <c r="AF7" s="18">
        <v>11</v>
      </c>
      <c r="AG7" s="18">
        <v>11</v>
      </c>
      <c r="AH7" s="18">
        <v>13</v>
      </c>
      <c r="AI7" s="18">
        <v>13</v>
      </c>
      <c r="AJ7" s="18">
        <f>AI7+1</f>
        <v>14</v>
      </c>
      <c r="AK7" s="18">
        <f>9+2</f>
        <v>11</v>
      </c>
    </row>
    <row r="8" spans="1:37" x14ac:dyDescent="0.3">
      <c r="A8" s="9">
        <v>6</v>
      </c>
      <c r="B8" s="24" t="s">
        <v>14</v>
      </c>
      <c r="C8" s="16">
        <v>0</v>
      </c>
      <c r="D8" s="16">
        <v>0</v>
      </c>
      <c r="E8" s="16">
        <v>0</v>
      </c>
      <c r="F8" s="17">
        <v>0</v>
      </c>
      <c r="G8" s="17">
        <v>0</v>
      </c>
      <c r="H8" s="17"/>
      <c r="I8" s="17">
        <v>0</v>
      </c>
      <c r="J8" s="17">
        <v>0</v>
      </c>
      <c r="K8" s="17">
        <v>2</v>
      </c>
      <c r="L8" s="17">
        <v>2</v>
      </c>
      <c r="M8" s="17">
        <v>2</v>
      </c>
      <c r="N8" s="17">
        <v>3</v>
      </c>
      <c r="O8" s="17">
        <v>3</v>
      </c>
      <c r="P8" s="17">
        <v>3</v>
      </c>
      <c r="Q8" s="18">
        <v>4</v>
      </c>
      <c r="R8" s="18">
        <v>5</v>
      </c>
      <c r="S8" s="18">
        <v>5</v>
      </c>
      <c r="T8" s="18">
        <v>6</v>
      </c>
      <c r="U8" s="18">
        <v>6</v>
      </c>
      <c r="V8" s="18">
        <v>7</v>
      </c>
      <c r="W8" s="18">
        <v>8</v>
      </c>
      <c r="X8" s="18">
        <v>9</v>
      </c>
      <c r="Y8" s="18">
        <v>9</v>
      </c>
      <c r="Z8" s="18">
        <f>9+2</f>
        <v>11</v>
      </c>
      <c r="AA8" s="18">
        <f>9+2</f>
        <v>11</v>
      </c>
      <c r="AB8" s="18">
        <f>9+2</f>
        <v>11</v>
      </c>
      <c r="AC8" s="18">
        <v>12</v>
      </c>
      <c r="AD8" s="18">
        <v>12</v>
      </c>
      <c r="AE8" s="18">
        <v>13</v>
      </c>
      <c r="AF8" s="18">
        <v>11</v>
      </c>
      <c r="AG8" s="18">
        <v>11</v>
      </c>
      <c r="AH8" s="18">
        <v>13</v>
      </c>
      <c r="AI8" s="18">
        <v>13</v>
      </c>
      <c r="AJ8" s="18">
        <f>AI8+1</f>
        <v>14</v>
      </c>
      <c r="AK8" s="18">
        <f>9+2</f>
        <v>11</v>
      </c>
    </row>
    <row r="9" spans="1:37" x14ac:dyDescent="0.3">
      <c r="A9" s="7">
        <v>7</v>
      </c>
      <c r="B9" s="25" t="s">
        <v>15</v>
      </c>
      <c r="C9" s="16">
        <v>0</v>
      </c>
      <c r="D9" s="16">
        <v>0</v>
      </c>
      <c r="E9" s="16">
        <v>0</v>
      </c>
      <c r="F9" s="17">
        <v>0</v>
      </c>
      <c r="G9" s="17">
        <v>0</v>
      </c>
      <c r="H9" s="17">
        <v>0</v>
      </c>
      <c r="I9" s="17"/>
      <c r="J9" s="17">
        <v>0</v>
      </c>
      <c r="K9" s="17">
        <v>2</v>
      </c>
      <c r="L9" s="17">
        <v>2</v>
      </c>
      <c r="M9" s="17">
        <v>2</v>
      </c>
      <c r="N9" s="17">
        <v>3</v>
      </c>
      <c r="O9" s="17">
        <v>3</v>
      </c>
      <c r="P9" s="17">
        <v>3</v>
      </c>
      <c r="Q9" s="18">
        <v>4</v>
      </c>
      <c r="R9" s="18">
        <v>5</v>
      </c>
      <c r="S9" s="18">
        <v>5</v>
      </c>
      <c r="T9" s="18">
        <v>6</v>
      </c>
      <c r="U9" s="18">
        <v>6</v>
      </c>
      <c r="V9" s="18">
        <v>7</v>
      </c>
      <c r="W9" s="18">
        <v>8</v>
      </c>
      <c r="X9" s="18">
        <v>9</v>
      </c>
      <c r="Y9" s="18">
        <v>9</v>
      </c>
      <c r="Z9" s="18">
        <f>9+2</f>
        <v>11</v>
      </c>
      <c r="AA9" s="18">
        <f>9+2</f>
        <v>11</v>
      </c>
      <c r="AB9" s="18">
        <f>9+2</f>
        <v>11</v>
      </c>
      <c r="AC9" s="18">
        <v>12</v>
      </c>
      <c r="AD9" s="18">
        <v>12</v>
      </c>
      <c r="AE9" s="18">
        <v>13</v>
      </c>
      <c r="AF9" s="18">
        <v>11</v>
      </c>
      <c r="AG9" s="18">
        <v>11</v>
      </c>
      <c r="AH9" s="18">
        <v>13</v>
      </c>
      <c r="AI9" s="18">
        <v>13</v>
      </c>
      <c r="AJ9" s="18">
        <f>AI9+1</f>
        <v>14</v>
      </c>
      <c r="AK9" s="18">
        <f>9+2</f>
        <v>11</v>
      </c>
    </row>
    <row r="10" spans="1:37" x14ac:dyDescent="0.3">
      <c r="A10" s="9">
        <v>8</v>
      </c>
      <c r="B10" s="24" t="s">
        <v>17</v>
      </c>
      <c r="C10" s="16">
        <v>0</v>
      </c>
      <c r="D10" s="16">
        <v>0</v>
      </c>
      <c r="E10" s="16">
        <v>0</v>
      </c>
      <c r="F10" s="17">
        <v>0</v>
      </c>
      <c r="G10" s="17">
        <v>0</v>
      </c>
      <c r="H10" s="17">
        <v>0</v>
      </c>
      <c r="I10" s="17">
        <v>0</v>
      </c>
      <c r="J10" s="17"/>
      <c r="K10" s="17">
        <v>2</v>
      </c>
      <c r="L10" s="17">
        <v>2</v>
      </c>
      <c r="M10" s="17">
        <v>2</v>
      </c>
      <c r="N10" s="17">
        <v>3</v>
      </c>
      <c r="O10" s="17">
        <v>3</v>
      </c>
      <c r="P10" s="17">
        <v>3</v>
      </c>
      <c r="Q10" s="18">
        <v>4</v>
      </c>
      <c r="R10" s="18">
        <v>5</v>
      </c>
      <c r="S10" s="18">
        <v>5</v>
      </c>
      <c r="T10" s="18">
        <v>6</v>
      </c>
      <c r="U10" s="18">
        <v>6</v>
      </c>
      <c r="V10" s="18">
        <v>7</v>
      </c>
      <c r="W10" s="18">
        <v>8</v>
      </c>
      <c r="X10" s="18">
        <v>9</v>
      </c>
      <c r="Y10" s="18">
        <v>9</v>
      </c>
      <c r="Z10" s="18">
        <f>9+2</f>
        <v>11</v>
      </c>
      <c r="AA10" s="18">
        <f>9+2</f>
        <v>11</v>
      </c>
      <c r="AB10" s="18">
        <f>9+2</f>
        <v>11</v>
      </c>
      <c r="AC10" s="18">
        <v>12</v>
      </c>
      <c r="AD10" s="18">
        <v>12</v>
      </c>
      <c r="AE10" s="18">
        <v>13</v>
      </c>
      <c r="AF10" s="18">
        <v>11</v>
      </c>
      <c r="AG10" s="18">
        <v>11</v>
      </c>
      <c r="AH10" s="18">
        <v>13</v>
      </c>
      <c r="AI10" s="18">
        <v>13</v>
      </c>
      <c r="AJ10" s="18">
        <f>AI10+1</f>
        <v>14</v>
      </c>
      <c r="AK10" s="18">
        <f>9+2</f>
        <v>11</v>
      </c>
    </row>
    <row r="11" spans="1:37" x14ac:dyDescent="0.3">
      <c r="A11" s="7">
        <v>9</v>
      </c>
      <c r="B11" s="25" t="s">
        <v>18</v>
      </c>
      <c r="C11" s="16">
        <v>2</v>
      </c>
      <c r="D11" s="16">
        <v>2</v>
      </c>
      <c r="E11" s="16">
        <v>2</v>
      </c>
      <c r="F11" s="17">
        <v>2</v>
      </c>
      <c r="G11" s="17">
        <v>2</v>
      </c>
      <c r="H11" s="17">
        <v>2</v>
      </c>
      <c r="I11" s="17">
        <v>2</v>
      </c>
      <c r="J11" s="17">
        <v>2</v>
      </c>
      <c r="K11" s="18"/>
      <c r="L11" s="17">
        <v>0</v>
      </c>
      <c r="M11" s="17">
        <v>0</v>
      </c>
      <c r="N11" s="17">
        <v>1</v>
      </c>
      <c r="O11" s="17">
        <v>1</v>
      </c>
      <c r="P11" s="17">
        <v>1</v>
      </c>
      <c r="Q11" s="18">
        <v>2</v>
      </c>
      <c r="R11" s="18">
        <v>3</v>
      </c>
      <c r="S11" s="18">
        <v>3</v>
      </c>
      <c r="T11" s="18">
        <v>4</v>
      </c>
      <c r="U11" s="18">
        <v>4</v>
      </c>
      <c r="V11" s="18">
        <v>5</v>
      </c>
      <c r="W11" s="18">
        <v>6</v>
      </c>
      <c r="X11" s="18">
        <v>7</v>
      </c>
      <c r="Y11" s="18">
        <v>7</v>
      </c>
      <c r="Z11" s="18">
        <f>9+4</f>
        <v>13</v>
      </c>
      <c r="AA11" s="18">
        <f>9+4</f>
        <v>13</v>
      </c>
      <c r="AB11" s="18">
        <f>9+4</f>
        <v>13</v>
      </c>
      <c r="AC11" s="18">
        <v>14</v>
      </c>
      <c r="AD11" s="18">
        <v>14</v>
      </c>
      <c r="AE11" s="18">
        <v>15</v>
      </c>
      <c r="AF11" s="18">
        <v>13</v>
      </c>
      <c r="AG11" s="18">
        <v>13</v>
      </c>
      <c r="AH11" s="18">
        <v>15</v>
      </c>
      <c r="AI11" s="18">
        <v>15</v>
      </c>
      <c r="AJ11" s="18">
        <f>AI11+1</f>
        <v>16</v>
      </c>
      <c r="AK11" s="18">
        <f>9+4</f>
        <v>13</v>
      </c>
    </row>
    <row r="12" spans="1:37" x14ac:dyDescent="0.3">
      <c r="A12" s="9">
        <v>10</v>
      </c>
      <c r="B12" s="24" t="s">
        <v>19</v>
      </c>
      <c r="C12" s="17">
        <v>2</v>
      </c>
      <c r="D12" s="17">
        <v>2</v>
      </c>
      <c r="E12" s="17">
        <v>2</v>
      </c>
      <c r="F12" s="17">
        <v>2</v>
      </c>
      <c r="G12" s="17">
        <v>2</v>
      </c>
      <c r="H12" s="17">
        <v>2</v>
      </c>
      <c r="I12" s="17">
        <v>2</v>
      </c>
      <c r="J12" s="17">
        <v>2</v>
      </c>
      <c r="K12" s="17">
        <v>0</v>
      </c>
      <c r="L12" s="18"/>
      <c r="M12" s="17">
        <v>0</v>
      </c>
      <c r="N12" s="17">
        <v>1</v>
      </c>
      <c r="O12" s="17">
        <v>1</v>
      </c>
      <c r="P12" s="17">
        <v>1</v>
      </c>
      <c r="Q12" s="18">
        <v>2</v>
      </c>
      <c r="R12" s="18">
        <v>3</v>
      </c>
      <c r="S12" s="18">
        <v>3</v>
      </c>
      <c r="T12" s="18">
        <v>4</v>
      </c>
      <c r="U12" s="18">
        <v>4</v>
      </c>
      <c r="V12" s="18">
        <v>5</v>
      </c>
      <c r="W12" s="18">
        <v>6</v>
      </c>
      <c r="X12" s="18">
        <v>7</v>
      </c>
      <c r="Y12" s="18">
        <v>7</v>
      </c>
      <c r="Z12" s="18">
        <f>9+4</f>
        <v>13</v>
      </c>
      <c r="AA12" s="18">
        <f>9+4</f>
        <v>13</v>
      </c>
      <c r="AB12" s="18">
        <f>9+4</f>
        <v>13</v>
      </c>
      <c r="AC12" s="18">
        <v>14</v>
      </c>
      <c r="AD12" s="18">
        <v>14</v>
      </c>
      <c r="AE12" s="18">
        <v>15</v>
      </c>
      <c r="AF12" s="18">
        <v>13</v>
      </c>
      <c r="AG12" s="18">
        <v>13</v>
      </c>
      <c r="AH12" s="18">
        <v>15</v>
      </c>
      <c r="AI12" s="18">
        <v>15</v>
      </c>
      <c r="AJ12" s="18">
        <f>AI12+1</f>
        <v>16</v>
      </c>
      <c r="AK12" s="18">
        <f>9+4</f>
        <v>13</v>
      </c>
    </row>
    <row r="13" spans="1:37" x14ac:dyDescent="0.3">
      <c r="A13" s="7">
        <v>11</v>
      </c>
      <c r="B13" s="25" t="s">
        <v>20</v>
      </c>
      <c r="C13" s="17">
        <v>2</v>
      </c>
      <c r="D13" s="17">
        <v>2</v>
      </c>
      <c r="E13" s="17">
        <v>2</v>
      </c>
      <c r="F13" s="17">
        <v>2</v>
      </c>
      <c r="G13" s="17">
        <v>2</v>
      </c>
      <c r="H13" s="17">
        <v>2</v>
      </c>
      <c r="I13" s="17">
        <v>2</v>
      </c>
      <c r="J13" s="17">
        <v>2</v>
      </c>
      <c r="K13" s="17">
        <v>0</v>
      </c>
      <c r="L13" s="17">
        <v>0</v>
      </c>
      <c r="M13" s="18"/>
      <c r="N13" s="17">
        <v>1</v>
      </c>
      <c r="O13" s="17">
        <v>1</v>
      </c>
      <c r="P13" s="17">
        <v>1</v>
      </c>
      <c r="Q13" s="18">
        <v>2</v>
      </c>
      <c r="R13" s="18">
        <v>3</v>
      </c>
      <c r="S13" s="18">
        <v>3</v>
      </c>
      <c r="T13" s="18">
        <v>4</v>
      </c>
      <c r="U13" s="18">
        <v>4</v>
      </c>
      <c r="V13" s="18">
        <v>5</v>
      </c>
      <c r="W13" s="18">
        <v>6</v>
      </c>
      <c r="X13" s="18">
        <v>7</v>
      </c>
      <c r="Y13" s="18">
        <v>7</v>
      </c>
      <c r="Z13" s="18">
        <f>9+4</f>
        <v>13</v>
      </c>
      <c r="AA13" s="18">
        <f>9+4</f>
        <v>13</v>
      </c>
      <c r="AB13" s="18">
        <f>9+4</f>
        <v>13</v>
      </c>
      <c r="AC13" s="18">
        <v>14</v>
      </c>
      <c r="AD13" s="18">
        <v>14</v>
      </c>
      <c r="AE13" s="18">
        <v>15</v>
      </c>
      <c r="AF13" s="18">
        <v>13</v>
      </c>
      <c r="AG13" s="18">
        <v>13</v>
      </c>
      <c r="AH13" s="18">
        <v>15</v>
      </c>
      <c r="AI13" s="18">
        <v>15</v>
      </c>
      <c r="AJ13" s="18">
        <f>AI13+1</f>
        <v>16</v>
      </c>
      <c r="AK13" s="18">
        <f>9+4</f>
        <v>13</v>
      </c>
    </row>
    <row r="14" spans="1:37" x14ac:dyDescent="0.3">
      <c r="A14" s="9">
        <v>12</v>
      </c>
      <c r="B14" s="24" t="s">
        <v>21</v>
      </c>
      <c r="C14" s="17">
        <v>3</v>
      </c>
      <c r="D14" s="17">
        <v>3</v>
      </c>
      <c r="E14" s="17">
        <v>3</v>
      </c>
      <c r="F14" s="17">
        <v>3</v>
      </c>
      <c r="G14" s="17">
        <v>3</v>
      </c>
      <c r="H14" s="17">
        <v>3</v>
      </c>
      <c r="I14" s="17">
        <v>3</v>
      </c>
      <c r="J14" s="17">
        <v>3</v>
      </c>
      <c r="K14" s="17">
        <v>1</v>
      </c>
      <c r="L14" s="17">
        <v>1</v>
      </c>
      <c r="M14" s="17">
        <v>1</v>
      </c>
      <c r="N14" s="18"/>
      <c r="O14" s="17">
        <v>0</v>
      </c>
      <c r="P14" s="17">
        <v>0</v>
      </c>
      <c r="Q14" s="18">
        <v>1</v>
      </c>
      <c r="R14" s="18">
        <v>2</v>
      </c>
      <c r="S14" s="18">
        <v>2</v>
      </c>
      <c r="T14" s="18">
        <v>3</v>
      </c>
      <c r="U14" s="18">
        <v>3</v>
      </c>
      <c r="V14" s="18">
        <v>4</v>
      </c>
      <c r="W14" s="18">
        <v>5</v>
      </c>
      <c r="X14" s="18">
        <v>6</v>
      </c>
      <c r="Y14" s="18">
        <v>6</v>
      </c>
      <c r="Z14" s="18">
        <v>14</v>
      </c>
      <c r="AA14" s="18">
        <v>14</v>
      </c>
      <c r="AB14" s="18">
        <v>14</v>
      </c>
      <c r="AC14" s="18">
        <v>15</v>
      </c>
      <c r="AD14" s="18">
        <v>15</v>
      </c>
      <c r="AE14" s="18">
        <v>16</v>
      </c>
      <c r="AF14" s="18">
        <v>14</v>
      </c>
      <c r="AG14" s="18">
        <v>14</v>
      </c>
      <c r="AH14" s="18">
        <v>16</v>
      </c>
      <c r="AI14" s="18">
        <v>16</v>
      </c>
      <c r="AJ14" s="18">
        <f>AI14+1</f>
        <v>17</v>
      </c>
      <c r="AK14" s="18">
        <v>14</v>
      </c>
    </row>
    <row r="15" spans="1:37" x14ac:dyDescent="0.3">
      <c r="A15" s="7">
        <v>13</v>
      </c>
      <c r="B15" s="25" t="s">
        <v>22</v>
      </c>
      <c r="C15" s="17">
        <v>3</v>
      </c>
      <c r="D15" s="17">
        <v>3</v>
      </c>
      <c r="E15" s="17">
        <v>3</v>
      </c>
      <c r="F15" s="17">
        <v>3</v>
      </c>
      <c r="G15" s="17">
        <v>3</v>
      </c>
      <c r="H15" s="17">
        <v>3</v>
      </c>
      <c r="I15" s="17">
        <v>3</v>
      </c>
      <c r="J15" s="17">
        <v>3</v>
      </c>
      <c r="K15" s="17">
        <v>1</v>
      </c>
      <c r="L15" s="17">
        <v>1</v>
      </c>
      <c r="M15" s="17">
        <v>1</v>
      </c>
      <c r="N15" s="17">
        <v>0</v>
      </c>
      <c r="O15" s="18"/>
      <c r="P15" s="17">
        <v>0</v>
      </c>
      <c r="Q15" s="18">
        <v>1</v>
      </c>
      <c r="R15" s="18">
        <v>2</v>
      </c>
      <c r="S15" s="18">
        <v>2</v>
      </c>
      <c r="T15" s="18">
        <v>3</v>
      </c>
      <c r="U15" s="18">
        <v>3</v>
      </c>
      <c r="V15" s="18">
        <v>4</v>
      </c>
      <c r="W15" s="18">
        <v>5</v>
      </c>
      <c r="X15" s="18">
        <v>6</v>
      </c>
      <c r="Y15" s="18">
        <v>6</v>
      </c>
      <c r="Z15" s="18">
        <v>14</v>
      </c>
      <c r="AA15" s="18">
        <v>14</v>
      </c>
      <c r="AB15" s="18">
        <v>14</v>
      </c>
      <c r="AC15" s="18">
        <v>15</v>
      </c>
      <c r="AD15" s="18">
        <v>15</v>
      </c>
      <c r="AE15" s="18">
        <v>16</v>
      </c>
      <c r="AF15" s="18">
        <v>14</v>
      </c>
      <c r="AG15" s="18">
        <v>14</v>
      </c>
      <c r="AH15" s="18">
        <v>16</v>
      </c>
      <c r="AI15" s="18">
        <v>16</v>
      </c>
      <c r="AJ15" s="18">
        <f>AI15+1</f>
        <v>17</v>
      </c>
      <c r="AK15" s="18">
        <v>14</v>
      </c>
    </row>
    <row r="16" spans="1:37" x14ac:dyDescent="0.3">
      <c r="A16" s="9">
        <v>14</v>
      </c>
      <c r="B16" s="24" t="s">
        <v>23</v>
      </c>
      <c r="C16" s="17">
        <v>3</v>
      </c>
      <c r="D16" s="17">
        <v>3</v>
      </c>
      <c r="E16" s="17">
        <v>3</v>
      </c>
      <c r="F16" s="17">
        <v>3</v>
      </c>
      <c r="G16" s="17">
        <v>3</v>
      </c>
      <c r="H16" s="17">
        <v>3</v>
      </c>
      <c r="I16" s="17">
        <v>3</v>
      </c>
      <c r="J16" s="17">
        <v>3</v>
      </c>
      <c r="K16" s="17">
        <v>1</v>
      </c>
      <c r="L16" s="17">
        <v>1</v>
      </c>
      <c r="M16" s="17">
        <v>1</v>
      </c>
      <c r="N16" s="17">
        <v>0</v>
      </c>
      <c r="O16" s="17">
        <v>0</v>
      </c>
      <c r="P16" s="18"/>
      <c r="Q16" s="18">
        <v>1</v>
      </c>
      <c r="R16" s="18">
        <v>2</v>
      </c>
      <c r="S16" s="18">
        <v>2</v>
      </c>
      <c r="T16" s="18">
        <v>3</v>
      </c>
      <c r="U16" s="18">
        <v>3</v>
      </c>
      <c r="V16" s="18">
        <v>4</v>
      </c>
      <c r="W16" s="18">
        <v>5</v>
      </c>
      <c r="X16" s="18">
        <v>6</v>
      </c>
      <c r="Y16" s="18">
        <v>6</v>
      </c>
      <c r="Z16" s="18">
        <v>14</v>
      </c>
      <c r="AA16" s="18">
        <v>14</v>
      </c>
      <c r="AB16" s="18">
        <v>14</v>
      </c>
      <c r="AC16" s="18">
        <v>15</v>
      </c>
      <c r="AD16" s="18">
        <v>15</v>
      </c>
      <c r="AE16" s="18">
        <v>16</v>
      </c>
      <c r="AF16" s="18">
        <v>14</v>
      </c>
      <c r="AG16" s="18">
        <v>14</v>
      </c>
      <c r="AH16" s="18">
        <v>16</v>
      </c>
      <c r="AI16" s="18">
        <v>16</v>
      </c>
      <c r="AJ16" s="18">
        <f>AI16+1</f>
        <v>17</v>
      </c>
      <c r="AK16" s="18">
        <v>14</v>
      </c>
    </row>
    <row r="17" spans="1:37" x14ac:dyDescent="0.3">
      <c r="A17" s="7">
        <v>15</v>
      </c>
      <c r="B17" s="25" t="s">
        <v>24</v>
      </c>
      <c r="C17" s="18">
        <v>4</v>
      </c>
      <c r="D17" s="18">
        <v>4</v>
      </c>
      <c r="E17" s="18">
        <v>4</v>
      </c>
      <c r="F17" s="18">
        <v>4</v>
      </c>
      <c r="G17" s="18">
        <v>4</v>
      </c>
      <c r="H17" s="18">
        <v>4</v>
      </c>
      <c r="I17" s="18">
        <v>4</v>
      </c>
      <c r="J17" s="18">
        <v>4</v>
      </c>
      <c r="K17" s="18">
        <v>2</v>
      </c>
      <c r="L17" s="18">
        <v>2</v>
      </c>
      <c r="M17" s="18">
        <v>2</v>
      </c>
      <c r="N17" s="18">
        <v>1</v>
      </c>
      <c r="O17" s="18">
        <v>1</v>
      </c>
      <c r="P17" s="18">
        <v>1</v>
      </c>
      <c r="Q17" s="18"/>
      <c r="R17" s="18">
        <v>1</v>
      </c>
      <c r="S17" s="18">
        <v>1</v>
      </c>
      <c r="T17" s="18">
        <v>2</v>
      </c>
      <c r="U17" s="18">
        <v>2</v>
      </c>
      <c r="V17" s="18">
        <v>3</v>
      </c>
      <c r="W17" s="18">
        <v>4</v>
      </c>
      <c r="X17" s="18">
        <v>5</v>
      </c>
      <c r="Y17" s="18">
        <v>5</v>
      </c>
      <c r="Z17" s="18">
        <v>15</v>
      </c>
      <c r="AA17" s="18">
        <v>15</v>
      </c>
      <c r="AB17" s="18">
        <v>15</v>
      </c>
      <c r="AC17" s="18">
        <v>16</v>
      </c>
      <c r="AD17" s="18">
        <v>16</v>
      </c>
      <c r="AE17" s="18">
        <v>17</v>
      </c>
      <c r="AF17" s="18">
        <v>15</v>
      </c>
      <c r="AG17" s="18">
        <v>15</v>
      </c>
      <c r="AH17" s="18">
        <v>17</v>
      </c>
      <c r="AI17" s="18">
        <v>17</v>
      </c>
      <c r="AJ17" s="18">
        <f>AI17+1</f>
        <v>18</v>
      </c>
      <c r="AK17" s="18">
        <v>15</v>
      </c>
    </row>
    <row r="18" spans="1:37" x14ac:dyDescent="0.3">
      <c r="A18" s="9">
        <v>16</v>
      </c>
      <c r="B18" s="24" t="s">
        <v>25</v>
      </c>
      <c r="C18" s="18">
        <v>5</v>
      </c>
      <c r="D18" s="18">
        <v>5</v>
      </c>
      <c r="E18" s="18">
        <v>5</v>
      </c>
      <c r="F18" s="18">
        <v>5</v>
      </c>
      <c r="G18" s="18">
        <v>5</v>
      </c>
      <c r="H18" s="18">
        <v>5</v>
      </c>
      <c r="I18" s="18">
        <v>5</v>
      </c>
      <c r="J18" s="18">
        <v>5</v>
      </c>
      <c r="K18" s="18">
        <v>3</v>
      </c>
      <c r="L18" s="18">
        <v>3</v>
      </c>
      <c r="M18" s="18">
        <v>3</v>
      </c>
      <c r="N18" s="18">
        <v>2</v>
      </c>
      <c r="O18" s="18">
        <v>2</v>
      </c>
      <c r="P18" s="18">
        <v>2</v>
      </c>
      <c r="Q18" s="18">
        <v>1</v>
      </c>
      <c r="R18" s="18"/>
      <c r="S18" s="18">
        <v>0</v>
      </c>
      <c r="T18" s="18">
        <v>1</v>
      </c>
      <c r="U18" s="18">
        <v>1</v>
      </c>
      <c r="V18" s="18">
        <v>2</v>
      </c>
      <c r="W18" s="18">
        <v>3</v>
      </c>
      <c r="X18" s="18">
        <v>4</v>
      </c>
      <c r="Y18" s="18">
        <v>4</v>
      </c>
      <c r="Z18" s="18">
        <v>16</v>
      </c>
      <c r="AA18" s="18">
        <v>16</v>
      </c>
      <c r="AB18" s="18">
        <v>16</v>
      </c>
      <c r="AC18" s="18">
        <v>17</v>
      </c>
      <c r="AD18" s="18">
        <v>17</v>
      </c>
      <c r="AE18" s="18">
        <v>18</v>
      </c>
      <c r="AF18" s="18">
        <v>16</v>
      </c>
      <c r="AG18" s="18">
        <v>16</v>
      </c>
      <c r="AH18" s="18">
        <v>18</v>
      </c>
      <c r="AI18" s="18">
        <v>18</v>
      </c>
      <c r="AJ18" s="18">
        <f>AI18+1</f>
        <v>19</v>
      </c>
      <c r="AK18" s="18">
        <v>16</v>
      </c>
    </row>
    <row r="19" spans="1:37" x14ac:dyDescent="0.3">
      <c r="A19" s="7">
        <v>17</v>
      </c>
      <c r="B19" s="25" t="s">
        <v>26</v>
      </c>
      <c r="C19" s="18">
        <v>5</v>
      </c>
      <c r="D19" s="18">
        <v>5</v>
      </c>
      <c r="E19" s="18">
        <v>5</v>
      </c>
      <c r="F19" s="18">
        <v>5</v>
      </c>
      <c r="G19" s="18">
        <v>5</v>
      </c>
      <c r="H19" s="18">
        <v>5</v>
      </c>
      <c r="I19" s="18">
        <v>5</v>
      </c>
      <c r="J19" s="18">
        <v>5</v>
      </c>
      <c r="K19" s="18">
        <v>3</v>
      </c>
      <c r="L19" s="18">
        <v>3</v>
      </c>
      <c r="M19" s="18">
        <v>3</v>
      </c>
      <c r="N19" s="18">
        <v>2</v>
      </c>
      <c r="O19" s="18">
        <v>2</v>
      </c>
      <c r="P19" s="18">
        <v>2</v>
      </c>
      <c r="Q19" s="18">
        <v>1</v>
      </c>
      <c r="R19" s="18">
        <v>0</v>
      </c>
      <c r="S19" s="18"/>
      <c r="T19" s="18">
        <v>1</v>
      </c>
      <c r="U19" s="18">
        <v>1</v>
      </c>
      <c r="V19" s="18">
        <v>2</v>
      </c>
      <c r="W19" s="18">
        <v>3</v>
      </c>
      <c r="X19" s="18">
        <v>4</v>
      </c>
      <c r="Y19" s="18">
        <v>4</v>
      </c>
      <c r="Z19" s="18">
        <v>16</v>
      </c>
      <c r="AA19" s="18">
        <v>16</v>
      </c>
      <c r="AB19" s="18">
        <v>16</v>
      </c>
      <c r="AC19" s="18">
        <v>17</v>
      </c>
      <c r="AD19" s="18">
        <v>17</v>
      </c>
      <c r="AE19" s="18">
        <v>18</v>
      </c>
      <c r="AF19" s="18">
        <v>16</v>
      </c>
      <c r="AG19" s="18">
        <v>16</v>
      </c>
      <c r="AH19" s="18">
        <v>18</v>
      </c>
      <c r="AI19" s="18">
        <v>18</v>
      </c>
      <c r="AJ19" s="18">
        <f>AI19+1</f>
        <v>19</v>
      </c>
      <c r="AK19" s="18">
        <v>16</v>
      </c>
    </row>
    <row r="20" spans="1:37" x14ac:dyDescent="0.3">
      <c r="A20" s="9">
        <v>18</v>
      </c>
      <c r="B20" s="24" t="s">
        <v>27</v>
      </c>
      <c r="C20" s="18">
        <v>6</v>
      </c>
      <c r="D20" s="18">
        <v>6</v>
      </c>
      <c r="E20" s="18">
        <v>6</v>
      </c>
      <c r="F20" s="18">
        <v>6</v>
      </c>
      <c r="G20" s="18">
        <v>6</v>
      </c>
      <c r="H20" s="18">
        <v>6</v>
      </c>
      <c r="I20" s="18">
        <v>6</v>
      </c>
      <c r="J20" s="18">
        <v>6</v>
      </c>
      <c r="K20" s="18">
        <v>4</v>
      </c>
      <c r="L20" s="18">
        <v>4</v>
      </c>
      <c r="M20" s="18">
        <v>4</v>
      </c>
      <c r="N20" s="18">
        <v>3</v>
      </c>
      <c r="O20" s="18">
        <v>3</v>
      </c>
      <c r="P20" s="18">
        <v>3</v>
      </c>
      <c r="Q20" s="18">
        <v>2</v>
      </c>
      <c r="R20" s="18">
        <v>1</v>
      </c>
      <c r="S20" s="18">
        <v>1</v>
      </c>
      <c r="T20" s="18"/>
      <c r="U20" s="18">
        <v>0</v>
      </c>
      <c r="V20" s="18">
        <v>1</v>
      </c>
      <c r="W20" s="18">
        <v>2</v>
      </c>
      <c r="X20" s="18">
        <v>3</v>
      </c>
      <c r="Y20" s="18">
        <v>3</v>
      </c>
      <c r="Z20" s="18">
        <v>17</v>
      </c>
      <c r="AA20" s="18">
        <v>17</v>
      </c>
      <c r="AB20" s="18">
        <v>17</v>
      </c>
      <c r="AC20" s="18">
        <v>18</v>
      </c>
      <c r="AD20" s="18">
        <v>18</v>
      </c>
      <c r="AE20" s="18">
        <v>19</v>
      </c>
      <c r="AF20" s="18">
        <v>17</v>
      </c>
      <c r="AG20" s="18">
        <v>17</v>
      </c>
      <c r="AH20" s="18">
        <v>19</v>
      </c>
      <c r="AI20" s="18">
        <v>19</v>
      </c>
      <c r="AJ20" s="18">
        <f>AI20+1</f>
        <v>20</v>
      </c>
      <c r="AK20" s="18">
        <v>17</v>
      </c>
    </row>
    <row r="21" spans="1:37" x14ac:dyDescent="0.3">
      <c r="A21" s="7">
        <v>19</v>
      </c>
      <c r="B21" s="25" t="s">
        <v>28</v>
      </c>
      <c r="C21" s="18">
        <v>6</v>
      </c>
      <c r="D21" s="18">
        <v>6</v>
      </c>
      <c r="E21" s="18">
        <v>6</v>
      </c>
      <c r="F21" s="18">
        <v>6</v>
      </c>
      <c r="G21" s="18">
        <v>6</v>
      </c>
      <c r="H21" s="18">
        <v>6</v>
      </c>
      <c r="I21" s="18">
        <v>6</v>
      </c>
      <c r="J21" s="18">
        <v>6</v>
      </c>
      <c r="K21" s="18">
        <v>4</v>
      </c>
      <c r="L21" s="18">
        <v>4</v>
      </c>
      <c r="M21" s="18">
        <v>4</v>
      </c>
      <c r="N21" s="18">
        <v>3</v>
      </c>
      <c r="O21" s="18">
        <v>3</v>
      </c>
      <c r="P21" s="18">
        <v>3</v>
      </c>
      <c r="Q21" s="18">
        <v>2</v>
      </c>
      <c r="R21" s="18">
        <v>1</v>
      </c>
      <c r="S21" s="18">
        <v>1</v>
      </c>
      <c r="T21" s="18">
        <v>0</v>
      </c>
      <c r="U21" s="18"/>
      <c r="V21" s="18">
        <v>1</v>
      </c>
      <c r="W21" s="18">
        <v>2</v>
      </c>
      <c r="X21" s="18">
        <v>3</v>
      </c>
      <c r="Y21" s="18">
        <v>3</v>
      </c>
      <c r="Z21" s="18">
        <v>17</v>
      </c>
      <c r="AA21" s="18">
        <v>17</v>
      </c>
      <c r="AB21" s="18">
        <v>17</v>
      </c>
      <c r="AC21" s="18">
        <v>18</v>
      </c>
      <c r="AD21" s="18">
        <v>18</v>
      </c>
      <c r="AE21" s="18">
        <v>19</v>
      </c>
      <c r="AF21" s="18">
        <v>17</v>
      </c>
      <c r="AG21" s="18">
        <v>17</v>
      </c>
      <c r="AH21" s="18">
        <v>19</v>
      </c>
      <c r="AI21" s="18">
        <v>19</v>
      </c>
      <c r="AJ21" s="18">
        <f>AI21+1</f>
        <v>20</v>
      </c>
      <c r="AK21" s="18">
        <v>17</v>
      </c>
    </row>
    <row r="22" spans="1:37" x14ac:dyDescent="0.3">
      <c r="A22" s="9">
        <v>20</v>
      </c>
      <c r="B22" s="24" t="s">
        <v>29</v>
      </c>
      <c r="C22" s="18">
        <v>7</v>
      </c>
      <c r="D22" s="18">
        <v>7</v>
      </c>
      <c r="E22" s="18">
        <v>7</v>
      </c>
      <c r="F22" s="18">
        <v>7</v>
      </c>
      <c r="G22" s="18">
        <v>7</v>
      </c>
      <c r="H22" s="18">
        <v>7</v>
      </c>
      <c r="I22" s="18">
        <v>7</v>
      </c>
      <c r="J22" s="18">
        <v>7</v>
      </c>
      <c r="K22" s="18">
        <v>5</v>
      </c>
      <c r="L22" s="18">
        <v>5</v>
      </c>
      <c r="M22" s="18">
        <v>5</v>
      </c>
      <c r="N22" s="18">
        <v>4</v>
      </c>
      <c r="O22" s="18">
        <v>4</v>
      </c>
      <c r="P22" s="18">
        <v>4</v>
      </c>
      <c r="Q22" s="18">
        <v>3</v>
      </c>
      <c r="R22" s="18">
        <v>2</v>
      </c>
      <c r="S22" s="18">
        <v>2</v>
      </c>
      <c r="T22" s="18">
        <v>1</v>
      </c>
      <c r="U22" s="18">
        <v>1</v>
      </c>
      <c r="V22" s="18"/>
      <c r="W22" s="18">
        <v>1</v>
      </c>
      <c r="X22" s="18">
        <v>2</v>
      </c>
      <c r="Y22" s="18">
        <v>2</v>
      </c>
      <c r="Z22" s="18">
        <v>18</v>
      </c>
      <c r="AA22" s="18">
        <v>18</v>
      </c>
      <c r="AB22" s="18">
        <v>18</v>
      </c>
      <c r="AC22" s="18">
        <v>19</v>
      </c>
      <c r="AD22" s="18">
        <v>19</v>
      </c>
      <c r="AE22" s="18">
        <v>20</v>
      </c>
      <c r="AF22" s="18">
        <v>18</v>
      </c>
      <c r="AG22" s="18">
        <v>18</v>
      </c>
      <c r="AH22" s="18">
        <v>20</v>
      </c>
      <c r="AI22" s="18">
        <v>20</v>
      </c>
      <c r="AJ22" s="18">
        <f>AI22+1</f>
        <v>21</v>
      </c>
      <c r="AK22" s="18">
        <v>18</v>
      </c>
    </row>
    <row r="23" spans="1:37" x14ac:dyDescent="0.3">
      <c r="A23" s="7">
        <v>21</v>
      </c>
      <c r="B23" s="25" t="s">
        <v>30</v>
      </c>
      <c r="C23" s="18">
        <v>8</v>
      </c>
      <c r="D23" s="18">
        <v>8</v>
      </c>
      <c r="E23" s="18">
        <v>8</v>
      </c>
      <c r="F23" s="18">
        <v>8</v>
      </c>
      <c r="G23" s="18">
        <v>8</v>
      </c>
      <c r="H23" s="18">
        <v>8</v>
      </c>
      <c r="I23" s="18">
        <v>8</v>
      </c>
      <c r="J23" s="18">
        <v>8</v>
      </c>
      <c r="K23" s="18">
        <v>6</v>
      </c>
      <c r="L23" s="18">
        <v>6</v>
      </c>
      <c r="M23" s="18">
        <v>6</v>
      </c>
      <c r="N23" s="18">
        <v>5</v>
      </c>
      <c r="O23" s="18">
        <v>5</v>
      </c>
      <c r="P23" s="18">
        <v>5</v>
      </c>
      <c r="Q23" s="18">
        <v>4</v>
      </c>
      <c r="R23" s="18">
        <v>3</v>
      </c>
      <c r="S23" s="18">
        <v>3</v>
      </c>
      <c r="T23" s="18">
        <v>2</v>
      </c>
      <c r="U23" s="18">
        <v>2</v>
      </c>
      <c r="V23" s="18">
        <v>1</v>
      </c>
      <c r="W23" s="18"/>
      <c r="X23" s="18">
        <v>1</v>
      </c>
      <c r="Y23" s="18">
        <v>1</v>
      </c>
      <c r="Z23" s="18">
        <v>19</v>
      </c>
      <c r="AA23" s="18">
        <v>19</v>
      </c>
      <c r="AB23" s="18">
        <v>19</v>
      </c>
      <c r="AC23" s="18">
        <v>20</v>
      </c>
      <c r="AD23" s="18">
        <v>20</v>
      </c>
      <c r="AE23" s="18">
        <v>21</v>
      </c>
      <c r="AF23" s="18">
        <v>19</v>
      </c>
      <c r="AG23" s="18">
        <v>19</v>
      </c>
      <c r="AH23" s="18">
        <v>21</v>
      </c>
      <c r="AI23" s="18">
        <v>21</v>
      </c>
      <c r="AJ23" s="18">
        <f>AI23+1</f>
        <v>22</v>
      </c>
      <c r="AK23" s="18">
        <v>19</v>
      </c>
    </row>
    <row r="24" spans="1:37" x14ac:dyDescent="0.3">
      <c r="A24" s="9">
        <v>22</v>
      </c>
      <c r="B24" s="24" t="s">
        <v>31</v>
      </c>
      <c r="C24" s="18">
        <v>9</v>
      </c>
      <c r="D24" s="18">
        <v>9</v>
      </c>
      <c r="E24" s="18">
        <v>9</v>
      </c>
      <c r="F24" s="18">
        <v>9</v>
      </c>
      <c r="G24" s="18">
        <v>9</v>
      </c>
      <c r="H24" s="18">
        <v>9</v>
      </c>
      <c r="I24" s="18">
        <v>9</v>
      </c>
      <c r="J24" s="18">
        <v>9</v>
      </c>
      <c r="K24" s="18">
        <v>7</v>
      </c>
      <c r="L24" s="18">
        <v>7</v>
      </c>
      <c r="M24" s="18">
        <v>7</v>
      </c>
      <c r="N24" s="18">
        <v>6</v>
      </c>
      <c r="O24" s="18">
        <v>6</v>
      </c>
      <c r="P24" s="18">
        <v>6</v>
      </c>
      <c r="Q24" s="18">
        <v>5</v>
      </c>
      <c r="R24" s="18">
        <v>4</v>
      </c>
      <c r="S24" s="18">
        <v>4</v>
      </c>
      <c r="T24" s="18">
        <v>3</v>
      </c>
      <c r="U24" s="18">
        <v>3</v>
      </c>
      <c r="V24" s="18">
        <v>2</v>
      </c>
      <c r="W24" s="18">
        <v>1</v>
      </c>
      <c r="X24" s="18"/>
      <c r="Y24" s="18">
        <v>0</v>
      </c>
      <c r="Z24" s="18">
        <v>20</v>
      </c>
      <c r="AA24" s="18">
        <v>20</v>
      </c>
      <c r="AB24" s="18">
        <v>20</v>
      </c>
      <c r="AC24" s="18">
        <v>21</v>
      </c>
      <c r="AD24" s="18">
        <v>21</v>
      </c>
      <c r="AE24" s="18">
        <v>22</v>
      </c>
      <c r="AF24" s="18">
        <v>20</v>
      </c>
      <c r="AG24" s="18">
        <v>20</v>
      </c>
      <c r="AH24" s="18">
        <v>22</v>
      </c>
      <c r="AI24" s="18">
        <v>22</v>
      </c>
      <c r="AJ24" s="18">
        <f>AI24+1</f>
        <v>23</v>
      </c>
      <c r="AK24" s="18">
        <v>20</v>
      </c>
    </row>
    <row r="25" spans="1:37" x14ac:dyDescent="0.3">
      <c r="A25" s="11">
        <v>23</v>
      </c>
      <c r="B25" s="26" t="s">
        <v>32</v>
      </c>
      <c r="C25" s="18">
        <v>9</v>
      </c>
      <c r="D25" s="18">
        <v>9</v>
      </c>
      <c r="E25" s="18">
        <v>9</v>
      </c>
      <c r="F25" s="18">
        <v>9</v>
      </c>
      <c r="G25" s="18">
        <v>9</v>
      </c>
      <c r="H25" s="18">
        <v>9</v>
      </c>
      <c r="I25" s="18">
        <v>9</v>
      </c>
      <c r="J25" s="18">
        <v>9</v>
      </c>
      <c r="K25" s="18">
        <v>7</v>
      </c>
      <c r="L25" s="18">
        <v>7</v>
      </c>
      <c r="M25" s="18">
        <v>7</v>
      </c>
      <c r="N25" s="18">
        <v>6</v>
      </c>
      <c r="O25" s="18">
        <v>6</v>
      </c>
      <c r="P25" s="18">
        <v>6</v>
      </c>
      <c r="Q25" s="18">
        <v>5</v>
      </c>
      <c r="R25" s="18">
        <v>4</v>
      </c>
      <c r="S25" s="18">
        <v>4</v>
      </c>
      <c r="T25" s="18">
        <v>3</v>
      </c>
      <c r="U25" s="18">
        <v>3</v>
      </c>
      <c r="V25" s="18">
        <v>2</v>
      </c>
      <c r="W25" s="18">
        <v>1</v>
      </c>
      <c r="X25" s="18">
        <v>0</v>
      </c>
      <c r="Y25" s="18"/>
      <c r="Z25" s="18">
        <v>20</v>
      </c>
      <c r="AA25" s="18">
        <v>20</v>
      </c>
      <c r="AB25" s="18">
        <v>20</v>
      </c>
      <c r="AC25" s="18">
        <v>21</v>
      </c>
      <c r="AD25" s="18">
        <v>21</v>
      </c>
      <c r="AE25" s="18">
        <v>22</v>
      </c>
      <c r="AF25" s="18">
        <v>20</v>
      </c>
      <c r="AG25" s="18">
        <v>20</v>
      </c>
      <c r="AH25" s="18">
        <v>22</v>
      </c>
      <c r="AI25" s="18">
        <v>22</v>
      </c>
      <c r="AJ25" s="18">
        <f>AI25+1</f>
        <v>23</v>
      </c>
      <c r="AK25" s="18">
        <v>20</v>
      </c>
    </row>
    <row r="26" spans="1:37" x14ac:dyDescent="0.3">
      <c r="A26" s="9">
        <v>24</v>
      </c>
      <c r="B26" s="24" t="s">
        <v>33</v>
      </c>
      <c r="C26" s="18">
        <f>9+2</f>
        <v>11</v>
      </c>
      <c r="D26" s="18">
        <f t="shared" ref="D26:J28" si="0">9+2</f>
        <v>11</v>
      </c>
      <c r="E26" s="18">
        <f t="shared" si="0"/>
        <v>11</v>
      </c>
      <c r="F26" s="18">
        <f t="shared" si="0"/>
        <v>11</v>
      </c>
      <c r="G26" s="18">
        <f t="shared" si="0"/>
        <v>11</v>
      </c>
      <c r="H26" s="18">
        <f t="shared" si="0"/>
        <v>11</v>
      </c>
      <c r="I26" s="18">
        <f t="shared" si="0"/>
        <v>11</v>
      </c>
      <c r="J26" s="18">
        <f t="shared" si="0"/>
        <v>11</v>
      </c>
      <c r="K26" s="18">
        <f>9+4</f>
        <v>13</v>
      </c>
      <c r="L26" s="18">
        <f t="shared" ref="L26:M28" si="1">9+4</f>
        <v>13</v>
      </c>
      <c r="M26" s="18">
        <f t="shared" si="1"/>
        <v>13</v>
      </c>
      <c r="N26" s="18">
        <v>14</v>
      </c>
      <c r="O26" s="18">
        <v>14</v>
      </c>
      <c r="P26" s="18">
        <v>14</v>
      </c>
      <c r="Q26" s="18">
        <v>15</v>
      </c>
      <c r="R26" s="18">
        <v>16</v>
      </c>
      <c r="S26" s="18">
        <v>16</v>
      </c>
      <c r="T26" s="18">
        <v>17</v>
      </c>
      <c r="U26" s="18">
        <v>17</v>
      </c>
      <c r="V26" s="18">
        <v>18</v>
      </c>
      <c r="W26" s="18">
        <v>19</v>
      </c>
      <c r="X26" s="18">
        <v>20</v>
      </c>
      <c r="Y26" s="18">
        <v>20</v>
      </c>
      <c r="Z26" s="18"/>
      <c r="AA26" s="18">
        <v>0</v>
      </c>
      <c r="AB26" s="18">
        <v>0</v>
      </c>
      <c r="AC26" s="18">
        <v>1</v>
      </c>
      <c r="AD26" s="18">
        <v>1</v>
      </c>
      <c r="AE26" s="18">
        <v>2</v>
      </c>
      <c r="AF26" s="18">
        <f>3</f>
        <v>3</v>
      </c>
      <c r="AG26" s="18">
        <f>3</f>
        <v>3</v>
      </c>
      <c r="AH26" s="18">
        <v>6</v>
      </c>
      <c r="AI26" s="18">
        <v>6</v>
      </c>
      <c r="AJ26" s="18">
        <f>AI26+1</f>
        <v>7</v>
      </c>
      <c r="AK26" s="18">
        <v>3</v>
      </c>
    </row>
    <row r="27" spans="1:37" x14ac:dyDescent="0.3">
      <c r="A27" s="7">
        <v>25</v>
      </c>
      <c r="B27" s="25" t="s">
        <v>35</v>
      </c>
      <c r="C27" s="18">
        <f>9+2</f>
        <v>11</v>
      </c>
      <c r="D27" s="18">
        <f t="shared" si="0"/>
        <v>11</v>
      </c>
      <c r="E27" s="18">
        <f t="shared" si="0"/>
        <v>11</v>
      </c>
      <c r="F27" s="18">
        <f t="shared" si="0"/>
        <v>11</v>
      </c>
      <c r="G27" s="18">
        <f t="shared" si="0"/>
        <v>11</v>
      </c>
      <c r="H27" s="18">
        <f t="shared" si="0"/>
        <v>11</v>
      </c>
      <c r="I27" s="18">
        <f t="shared" si="0"/>
        <v>11</v>
      </c>
      <c r="J27" s="18">
        <f t="shared" si="0"/>
        <v>11</v>
      </c>
      <c r="K27" s="18">
        <f>9+4</f>
        <v>13</v>
      </c>
      <c r="L27" s="18">
        <f t="shared" si="1"/>
        <v>13</v>
      </c>
      <c r="M27" s="18">
        <f t="shared" si="1"/>
        <v>13</v>
      </c>
      <c r="N27" s="18">
        <v>14</v>
      </c>
      <c r="O27" s="18">
        <v>14</v>
      </c>
      <c r="P27" s="18">
        <v>14</v>
      </c>
      <c r="Q27" s="18">
        <v>15</v>
      </c>
      <c r="R27" s="18">
        <v>16</v>
      </c>
      <c r="S27" s="18">
        <v>16</v>
      </c>
      <c r="T27" s="18">
        <v>17</v>
      </c>
      <c r="U27" s="18">
        <v>17</v>
      </c>
      <c r="V27" s="18">
        <v>18</v>
      </c>
      <c r="W27" s="18">
        <v>19</v>
      </c>
      <c r="X27" s="18">
        <v>20</v>
      </c>
      <c r="Y27" s="18">
        <v>20</v>
      </c>
      <c r="Z27" s="18">
        <v>0</v>
      </c>
      <c r="AA27" s="18"/>
      <c r="AB27" s="18">
        <v>0</v>
      </c>
      <c r="AC27" s="18">
        <v>1</v>
      </c>
      <c r="AD27" s="18">
        <v>1</v>
      </c>
      <c r="AE27" s="18">
        <v>2</v>
      </c>
      <c r="AF27" s="18">
        <v>3</v>
      </c>
      <c r="AG27" s="18">
        <v>3</v>
      </c>
      <c r="AH27" s="18">
        <v>6</v>
      </c>
      <c r="AI27" s="18">
        <v>6</v>
      </c>
      <c r="AJ27" s="18">
        <f>AI27+1</f>
        <v>7</v>
      </c>
      <c r="AK27" s="18">
        <v>3</v>
      </c>
    </row>
    <row r="28" spans="1:37" x14ac:dyDescent="0.3">
      <c r="A28" s="9">
        <v>26</v>
      </c>
      <c r="B28" s="24" t="s">
        <v>37</v>
      </c>
      <c r="C28" s="18">
        <f>9+2</f>
        <v>11</v>
      </c>
      <c r="D28" s="18">
        <f t="shared" si="0"/>
        <v>11</v>
      </c>
      <c r="E28" s="18">
        <f t="shared" si="0"/>
        <v>11</v>
      </c>
      <c r="F28" s="18">
        <f t="shared" si="0"/>
        <v>11</v>
      </c>
      <c r="G28" s="18">
        <f t="shared" si="0"/>
        <v>11</v>
      </c>
      <c r="H28" s="18">
        <f t="shared" si="0"/>
        <v>11</v>
      </c>
      <c r="I28" s="18">
        <f t="shared" si="0"/>
        <v>11</v>
      </c>
      <c r="J28" s="18">
        <f t="shared" si="0"/>
        <v>11</v>
      </c>
      <c r="K28" s="18">
        <f>9+4</f>
        <v>13</v>
      </c>
      <c r="L28" s="18">
        <f t="shared" si="1"/>
        <v>13</v>
      </c>
      <c r="M28" s="18">
        <f t="shared" si="1"/>
        <v>13</v>
      </c>
      <c r="N28" s="18">
        <v>14</v>
      </c>
      <c r="O28" s="18">
        <v>14</v>
      </c>
      <c r="P28" s="18">
        <v>14</v>
      </c>
      <c r="Q28" s="18">
        <v>15</v>
      </c>
      <c r="R28" s="18">
        <v>16</v>
      </c>
      <c r="S28" s="18">
        <v>16</v>
      </c>
      <c r="T28" s="18">
        <v>17</v>
      </c>
      <c r="U28" s="18">
        <v>17</v>
      </c>
      <c r="V28" s="18">
        <v>18</v>
      </c>
      <c r="W28" s="18">
        <v>19</v>
      </c>
      <c r="X28" s="18">
        <v>20</v>
      </c>
      <c r="Y28" s="18">
        <v>20</v>
      </c>
      <c r="Z28" s="18">
        <v>0</v>
      </c>
      <c r="AA28" s="18">
        <v>0</v>
      </c>
      <c r="AB28" s="18"/>
      <c r="AC28" s="18">
        <v>1</v>
      </c>
      <c r="AD28" s="18">
        <v>1</v>
      </c>
      <c r="AE28" s="18">
        <v>2</v>
      </c>
      <c r="AF28" s="18">
        <v>3</v>
      </c>
      <c r="AG28" s="18">
        <v>3</v>
      </c>
      <c r="AH28" s="18">
        <v>6</v>
      </c>
      <c r="AI28" s="18">
        <v>6</v>
      </c>
      <c r="AJ28" s="18">
        <f>AI28+1</f>
        <v>7</v>
      </c>
      <c r="AK28" s="18">
        <v>3</v>
      </c>
    </row>
    <row r="29" spans="1:37" x14ac:dyDescent="0.3">
      <c r="A29" s="7">
        <v>27</v>
      </c>
      <c r="B29" s="25" t="s">
        <v>38</v>
      </c>
      <c r="C29" s="18">
        <v>12</v>
      </c>
      <c r="D29" s="18">
        <v>12</v>
      </c>
      <c r="E29" s="18">
        <v>12</v>
      </c>
      <c r="F29" s="18">
        <v>12</v>
      </c>
      <c r="G29" s="18">
        <v>12</v>
      </c>
      <c r="H29" s="18">
        <v>12</v>
      </c>
      <c r="I29" s="18">
        <v>12</v>
      </c>
      <c r="J29" s="18">
        <v>12</v>
      </c>
      <c r="K29" s="18">
        <v>14</v>
      </c>
      <c r="L29" s="18">
        <v>14</v>
      </c>
      <c r="M29" s="18">
        <v>14</v>
      </c>
      <c r="N29" s="18">
        <v>15</v>
      </c>
      <c r="O29" s="18">
        <v>15</v>
      </c>
      <c r="P29" s="18">
        <v>15</v>
      </c>
      <c r="Q29" s="18">
        <v>16</v>
      </c>
      <c r="R29" s="18">
        <v>17</v>
      </c>
      <c r="S29" s="18">
        <v>17</v>
      </c>
      <c r="T29" s="18">
        <v>18</v>
      </c>
      <c r="U29" s="18">
        <v>18</v>
      </c>
      <c r="V29" s="18">
        <v>19</v>
      </c>
      <c r="W29" s="18">
        <v>20</v>
      </c>
      <c r="X29" s="18">
        <v>21</v>
      </c>
      <c r="Y29" s="18">
        <v>21</v>
      </c>
      <c r="Z29" s="18">
        <v>1</v>
      </c>
      <c r="AA29" s="18">
        <v>1</v>
      </c>
      <c r="AB29" s="18">
        <v>1</v>
      </c>
      <c r="AC29" s="18"/>
      <c r="AD29" s="18">
        <v>0</v>
      </c>
      <c r="AE29" s="18">
        <v>1</v>
      </c>
      <c r="AF29" s="18">
        <v>4</v>
      </c>
      <c r="AG29" s="18">
        <v>4</v>
      </c>
      <c r="AH29" s="18">
        <v>7</v>
      </c>
      <c r="AI29" s="18">
        <v>7</v>
      </c>
      <c r="AJ29" s="18">
        <f>AI29+1</f>
        <v>8</v>
      </c>
      <c r="AK29" s="18">
        <v>4</v>
      </c>
    </row>
    <row r="30" spans="1:37" x14ac:dyDescent="0.3">
      <c r="A30" s="9">
        <v>28</v>
      </c>
      <c r="B30" s="24" t="s">
        <v>39</v>
      </c>
      <c r="C30" s="18">
        <v>12</v>
      </c>
      <c r="D30" s="18">
        <v>12</v>
      </c>
      <c r="E30" s="18">
        <v>12</v>
      </c>
      <c r="F30" s="18">
        <v>12</v>
      </c>
      <c r="G30" s="18">
        <v>12</v>
      </c>
      <c r="H30" s="18">
        <v>12</v>
      </c>
      <c r="I30" s="18">
        <v>12</v>
      </c>
      <c r="J30" s="18">
        <v>12</v>
      </c>
      <c r="K30" s="18">
        <v>14</v>
      </c>
      <c r="L30" s="18">
        <v>14</v>
      </c>
      <c r="M30" s="18">
        <v>14</v>
      </c>
      <c r="N30" s="18">
        <v>15</v>
      </c>
      <c r="O30" s="18">
        <v>15</v>
      </c>
      <c r="P30" s="18">
        <v>15</v>
      </c>
      <c r="Q30" s="18">
        <v>16</v>
      </c>
      <c r="R30" s="18">
        <v>17</v>
      </c>
      <c r="S30" s="18">
        <v>17</v>
      </c>
      <c r="T30" s="18">
        <v>18</v>
      </c>
      <c r="U30" s="18">
        <v>18</v>
      </c>
      <c r="V30" s="18">
        <v>19</v>
      </c>
      <c r="W30" s="18">
        <v>20</v>
      </c>
      <c r="X30" s="18">
        <v>21</v>
      </c>
      <c r="Y30" s="18">
        <v>21</v>
      </c>
      <c r="Z30" s="18">
        <v>1</v>
      </c>
      <c r="AA30" s="18">
        <v>1</v>
      </c>
      <c r="AB30" s="18">
        <v>1</v>
      </c>
      <c r="AC30" s="18">
        <v>0</v>
      </c>
      <c r="AD30" s="18"/>
      <c r="AE30" s="18">
        <v>1</v>
      </c>
      <c r="AF30" s="18">
        <v>4</v>
      </c>
      <c r="AG30" s="18">
        <v>4</v>
      </c>
      <c r="AH30" s="18">
        <v>7</v>
      </c>
      <c r="AI30" s="18">
        <v>7</v>
      </c>
      <c r="AJ30" s="18">
        <f>AI30+1</f>
        <v>8</v>
      </c>
      <c r="AK30" s="18">
        <v>4</v>
      </c>
    </row>
    <row r="31" spans="1:37" x14ac:dyDescent="0.3">
      <c r="A31" s="7">
        <v>29</v>
      </c>
      <c r="B31" s="25" t="s">
        <v>40</v>
      </c>
      <c r="C31" s="18">
        <v>13</v>
      </c>
      <c r="D31" s="18">
        <v>13</v>
      </c>
      <c r="E31" s="18">
        <v>13</v>
      </c>
      <c r="F31" s="18">
        <v>13</v>
      </c>
      <c r="G31" s="18">
        <v>13</v>
      </c>
      <c r="H31" s="18">
        <v>13</v>
      </c>
      <c r="I31" s="18">
        <v>13</v>
      </c>
      <c r="J31" s="18">
        <v>13</v>
      </c>
      <c r="K31" s="18">
        <v>15</v>
      </c>
      <c r="L31" s="18">
        <v>15</v>
      </c>
      <c r="M31" s="18">
        <v>15</v>
      </c>
      <c r="N31" s="18">
        <v>16</v>
      </c>
      <c r="O31" s="18">
        <v>16</v>
      </c>
      <c r="P31" s="18">
        <v>16</v>
      </c>
      <c r="Q31" s="18">
        <v>17</v>
      </c>
      <c r="R31" s="18">
        <v>18</v>
      </c>
      <c r="S31" s="18">
        <v>18</v>
      </c>
      <c r="T31" s="18">
        <v>19</v>
      </c>
      <c r="U31" s="18">
        <v>19</v>
      </c>
      <c r="V31" s="18">
        <v>20</v>
      </c>
      <c r="W31" s="18">
        <v>21</v>
      </c>
      <c r="X31" s="18">
        <v>22</v>
      </c>
      <c r="Y31" s="18">
        <v>22</v>
      </c>
      <c r="Z31" s="18">
        <v>2</v>
      </c>
      <c r="AA31" s="18">
        <v>2</v>
      </c>
      <c r="AB31" s="18">
        <v>2</v>
      </c>
      <c r="AC31" s="18">
        <v>1</v>
      </c>
      <c r="AD31" s="18">
        <v>1</v>
      </c>
      <c r="AE31" s="18"/>
      <c r="AF31" s="18">
        <v>5</v>
      </c>
      <c r="AG31" s="18">
        <v>5</v>
      </c>
      <c r="AH31" s="18">
        <v>8</v>
      </c>
      <c r="AI31" s="18">
        <v>8</v>
      </c>
      <c r="AJ31" s="18">
        <f>AI31+1</f>
        <v>9</v>
      </c>
      <c r="AK31" s="18">
        <v>5</v>
      </c>
    </row>
    <row r="32" spans="1:37" x14ac:dyDescent="0.3">
      <c r="A32" s="9">
        <v>30</v>
      </c>
      <c r="B32" s="24" t="s">
        <v>37</v>
      </c>
      <c r="C32" s="18">
        <v>11</v>
      </c>
      <c r="D32" s="18">
        <v>11</v>
      </c>
      <c r="E32" s="18">
        <v>11</v>
      </c>
      <c r="F32" s="18">
        <v>11</v>
      </c>
      <c r="G32" s="18">
        <v>11</v>
      </c>
      <c r="H32" s="18">
        <v>11</v>
      </c>
      <c r="I32" s="18">
        <v>11</v>
      </c>
      <c r="J32" s="18">
        <v>11</v>
      </c>
      <c r="K32" s="18">
        <v>13</v>
      </c>
      <c r="L32" s="18">
        <v>13</v>
      </c>
      <c r="M32" s="18">
        <v>13</v>
      </c>
      <c r="N32" s="18">
        <v>14</v>
      </c>
      <c r="O32" s="18">
        <v>14</v>
      </c>
      <c r="P32" s="18">
        <v>14</v>
      </c>
      <c r="Q32" s="18">
        <v>15</v>
      </c>
      <c r="R32" s="18">
        <v>16</v>
      </c>
      <c r="S32" s="18">
        <v>16</v>
      </c>
      <c r="T32" s="18">
        <v>17</v>
      </c>
      <c r="U32" s="18">
        <v>17</v>
      </c>
      <c r="V32" s="18">
        <v>18</v>
      </c>
      <c r="W32" s="18">
        <v>19</v>
      </c>
      <c r="X32" s="18">
        <v>20</v>
      </c>
      <c r="Y32" s="18">
        <v>20</v>
      </c>
      <c r="Z32" s="18">
        <f>3</f>
        <v>3</v>
      </c>
      <c r="AA32" s="18">
        <v>3</v>
      </c>
      <c r="AB32" s="18">
        <v>3</v>
      </c>
      <c r="AC32" s="18">
        <v>4</v>
      </c>
      <c r="AD32" s="18">
        <v>4</v>
      </c>
      <c r="AE32" s="18">
        <v>5</v>
      </c>
      <c r="AF32" s="18"/>
      <c r="AG32" s="18">
        <v>0</v>
      </c>
      <c r="AH32" s="18">
        <v>2</v>
      </c>
      <c r="AI32" s="18">
        <v>2</v>
      </c>
      <c r="AJ32" s="18">
        <f>AI32+1</f>
        <v>3</v>
      </c>
      <c r="AK32" s="18">
        <v>6</v>
      </c>
    </row>
    <row r="33" spans="1:37" x14ac:dyDescent="0.3">
      <c r="A33" s="7">
        <v>31</v>
      </c>
      <c r="B33" s="25" t="s">
        <v>47</v>
      </c>
      <c r="C33" s="18">
        <v>11</v>
      </c>
      <c r="D33" s="18">
        <v>11</v>
      </c>
      <c r="E33" s="18">
        <v>11</v>
      </c>
      <c r="F33" s="18">
        <v>11</v>
      </c>
      <c r="G33" s="18">
        <v>11</v>
      </c>
      <c r="H33" s="18">
        <v>11</v>
      </c>
      <c r="I33" s="18">
        <v>11</v>
      </c>
      <c r="J33" s="18">
        <v>11</v>
      </c>
      <c r="K33" s="18">
        <v>13</v>
      </c>
      <c r="L33" s="18">
        <v>13</v>
      </c>
      <c r="M33" s="18">
        <v>13</v>
      </c>
      <c r="N33" s="18">
        <v>14</v>
      </c>
      <c r="O33" s="18">
        <v>14</v>
      </c>
      <c r="P33" s="18">
        <v>14</v>
      </c>
      <c r="Q33" s="18">
        <v>15</v>
      </c>
      <c r="R33" s="18">
        <v>16</v>
      </c>
      <c r="S33" s="18">
        <v>16</v>
      </c>
      <c r="T33" s="18">
        <v>17</v>
      </c>
      <c r="U33" s="18">
        <v>17</v>
      </c>
      <c r="V33" s="18">
        <v>18</v>
      </c>
      <c r="W33" s="18">
        <v>19</v>
      </c>
      <c r="X33" s="18">
        <v>20</v>
      </c>
      <c r="Y33" s="18">
        <v>20</v>
      </c>
      <c r="Z33" s="18">
        <f>3</f>
        <v>3</v>
      </c>
      <c r="AA33" s="18">
        <v>3</v>
      </c>
      <c r="AB33" s="18">
        <v>3</v>
      </c>
      <c r="AC33" s="18">
        <v>4</v>
      </c>
      <c r="AD33" s="18">
        <v>4</v>
      </c>
      <c r="AE33" s="18">
        <v>5</v>
      </c>
      <c r="AF33" s="18">
        <v>0</v>
      </c>
      <c r="AG33" s="18"/>
      <c r="AH33" s="18">
        <v>2</v>
      </c>
      <c r="AI33" s="18">
        <v>2</v>
      </c>
      <c r="AJ33" s="18">
        <f>AI33+1</f>
        <v>3</v>
      </c>
      <c r="AK33" s="18">
        <v>6</v>
      </c>
    </row>
    <row r="34" spans="1:37" x14ac:dyDescent="0.3">
      <c r="A34" s="9">
        <v>32</v>
      </c>
      <c r="B34" s="24" t="s">
        <v>42</v>
      </c>
      <c r="C34" s="18">
        <v>13</v>
      </c>
      <c r="D34" s="18">
        <v>13</v>
      </c>
      <c r="E34" s="18">
        <v>13</v>
      </c>
      <c r="F34" s="18">
        <v>13</v>
      </c>
      <c r="G34" s="18">
        <v>13</v>
      </c>
      <c r="H34" s="18">
        <v>13</v>
      </c>
      <c r="I34" s="18">
        <v>13</v>
      </c>
      <c r="J34" s="18">
        <v>13</v>
      </c>
      <c r="K34" s="18">
        <v>15</v>
      </c>
      <c r="L34" s="18">
        <v>15</v>
      </c>
      <c r="M34" s="18">
        <v>15</v>
      </c>
      <c r="N34" s="18">
        <v>16</v>
      </c>
      <c r="O34" s="18">
        <v>16</v>
      </c>
      <c r="P34" s="18">
        <v>16</v>
      </c>
      <c r="Q34" s="18">
        <v>17</v>
      </c>
      <c r="R34" s="18">
        <v>18</v>
      </c>
      <c r="S34" s="18">
        <v>18</v>
      </c>
      <c r="T34" s="18">
        <v>19</v>
      </c>
      <c r="U34" s="18">
        <v>19</v>
      </c>
      <c r="V34" s="18">
        <v>20</v>
      </c>
      <c r="W34" s="18">
        <v>21</v>
      </c>
      <c r="X34" s="18">
        <v>22</v>
      </c>
      <c r="Y34" s="18">
        <v>22</v>
      </c>
      <c r="Z34" s="18">
        <v>6</v>
      </c>
      <c r="AA34" s="18">
        <v>6</v>
      </c>
      <c r="AB34" s="18">
        <v>6</v>
      </c>
      <c r="AC34" s="18">
        <v>7</v>
      </c>
      <c r="AD34" s="18">
        <v>7</v>
      </c>
      <c r="AE34" s="18">
        <v>8</v>
      </c>
      <c r="AF34" s="18">
        <v>2</v>
      </c>
      <c r="AG34" s="18">
        <v>2</v>
      </c>
      <c r="AH34" s="18"/>
      <c r="AI34" s="18">
        <v>0</v>
      </c>
      <c r="AJ34" s="18">
        <f>AI34+1</f>
        <v>1</v>
      </c>
      <c r="AK34" s="18">
        <v>7</v>
      </c>
    </row>
    <row r="35" spans="1:37" x14ac:dyDescent="0.3">
      <c r="A35" s="7">
        <v>33</v>
      </c>
      <c r="B35" s="25" t="s">
        <v>43</v>
      </c>
      <c r="C35" s="18">
        <v>13</v>
      </c>
      <c r="D35" s="18">
        <v>13</v>
      </c>
      <c r="E35" s="18">
        <v>13</v>
      </c>
      <c r="F35" s="18">
        <v>13</v>
      </c>
      <c r="G35" s="18">
        <v>13</v>
      </c>
      <c r="H35" s="18">
        <v>13</v>
      </c>
      <c r="I35" s="18">
        <v>13</v>
      </c>
      <c r="J35" s="18">
        <v>13</v>
      </c>
      <c r="K35" s="18">
        <v>15</v>
      </c>
      <c r="L35" s="18">
        <v>15</v>
      </c>
      <c r="M35" s="18">
        <v>15</v>
      </c>
      <c r="N35" s="18">
        <v>16</v>
      </c>
      <c r="O35" s="18">
        <v>16</v>
      </c>
      <c r="P35" s="18">
        <v>16</v>
      </c>
      <c r="Q35" s="18">
        <v>17</v>
      </c>
      <c r="R35" s="18">
        <v>18</v>
      </c>
      <c r="S35" s="18">
        <v>18</v>
      </c>
      <c r="T35" s="18">
        <v>19</v>
      </c>
      <c r="U35" s="18">
        <v>19</v>
      </c>
      <c r="V35" s="18">
        <v>20</v>
      </c>
      <c r="W35" s="18">
        <v>21</v>
      </c>
      <c r="X35" s="18">
        <v>22</v>
      </c>
      <c r="Y35" s="18">
        <v>22</v>
      </c>
      <c r="Z35" s="18">
        <v>6</v>
      </c>
      <c r="AA35" s="18">
        <v>6</v>
      </c>
      <c r="AB35" s="18">
        <v>6</v>
      </c>
      <c r="AC35" s="18">
        <v>7</v>
      </c>
      <c r="AD35" s="18">
        <v>7</v>
      </c>
      <c r="AE35" s="18">
        <v>8</v>
      </c>
      <c r="AF35" s="18">
        <v>2</v>
      </c>
      <c r="AG35" s="18">
        <v>2</v>
      </c>
      <c r="AH35" s="18">
        <v>0</v>
      </c>
      <c r="AI35" s="18"/>
      <c r="AJ35" s="18">
        <f>AI35+1</f>
        <v>1</v>
      </c>
      <c r="AK35" s="18">
        <v>7</v>
      </c>
    </row>
    <row r="36" spans="1:37" x14ac:dyDescent="0.3">
      <c r="A36" s="9">
        <v>34</v>
      </c>
      <c r="B36" s="24" t="s">
        <v>44</v>
      </c>
      <c r="C36" s="18">
        <f>C35+1</f>
        <v>14</v>
      </c>
      <c r="D36" s="18">
        <f t="shared" ref="D36:AI36" si="2">D35+1</f>
        <v>14</v>
      </c>
      <c r="E36" s="18">
        <f t="shared" si="2"/>
        <v>14</v>
      </c>
      <c r="F36" s="18">
        <f t="shared" si="2"/>
        <v>14</v>
      </c>
      <c r="G36" s="18">
        <f t="shared" si="2"/>
        <v>14</v>
      </c>
      <c r="H36" s="18">
        <f t="shared" si="2"/>
        <v>14</v>
      </c>
      <c r="I36" s="18">
        <f t="shared" si="2"/>
        <v>14</v>
      </c>
      <c r="J36" s="18">
        <f t="shared" si="2"/>
        <v>14</v>
      </c>
      <c r="K36" s="18">
        <f t="shared" si="2"/>
        <v>16</v>
      </c>
      <c r="L36" s="18">
        <f t="shared" si="2"/>
        <v>16</v>
      </c>
      <c r="M36" s="18">
        <f t="shared" si="2"/>
        <v>16</v>
      </c>
      <c r="N36" s="18">
        <f t="shared" si="2"/>
        <v>17</v>
      </c>
      <c r="O36" s="18">
        <f t="shared" si="2"/>
        <v>17</v>
      </c>
      <c r="P36" s="18">
        <f t="shared" si="2"/>
        <v>17</v>
      </c>
      <c r="Q36" s="18">
        <f t="shared" si="2"/>
        <v>18</v>
      </c>
      <c r="R36" s="18">
        <f t="shared" si="2"/>
        <v>19</v>
      </c>
      <c r="S36" s="18">
        <f t="shared" si="2"/>
        <v>19</v>
      </c>
      <c r="T36" s="18">
        <f t="shared" si="2"/>
        <v>20</v>
      </c>
      <c r="U36" s="18">
        <f t="shared" si="2"/>
        <v>20</v>
      </c>
      <c r="V36" s="18">
        <f t="shared" si="2"/>
        <v>21</v>
      </c>
      <c r="W36" s="18">
        <f t="shared" si="2"/>
        <v>22</v>
      </c>
      <c r="X36" s="18">
        <f t="shared" si="2"/>
        <v>23</v>
      </c>
      <c r="Y36" s="18">
        <f t="shared" si="2"/>
        <v>23</v>
      </c>
      <c r="Z36" s="18">
        <f t="shared" si="2"/>
        <v>7</v>
      </c>
      <c r="AA36" s="18">
        <f t="shared" si="2"/>
        <v>7</v>
      </c>
      <c r="AB36" s="18">
        <f t="shared" si="2"/>
        <v>7</v>
      </c>
      <c r="AC36" s="18">
        <f t="shared" si="2"/>
        <v>8</v>
      </c>
      <c r="AD36" s="18">
        <f t="shared" si="2"/>
        <v>8</v>
      </c>
      <c r="AE36" s="18">
        <f t="shared" si="2"/>
        <v>9</v>
      </c>
      <c r="AF36" s="18">
        <f t="shared" si="2"/>
        <v>3</v>
      </c>
      <c r="AG36" s="18">
        <f t="shared" si="2"/>
        <v>3</v>
      </c>
      <c r="AH36" s="18">
        <f t="shared" si="2"/>
        <v>1</v>
      </c>
      <c r="AI36" s="18">
        <f t="shared" si="2"/>
        <v>1</v>
      </c>
      <c r="AJ36" s="18"/>
      <c r="AK36" s="18">
        <v>8</v>
      </c>
    </row>
    <row r="37" spans="1:37" x14ac:dyDescent="0.3">
      <c r="A37" s="7">
        <v>35</v>
      </c>
      <c r="B37" s="25" t="s">
        <v>45</v>
      </c>
      <c r="C37" s="18">
        <f>9+2</f>
        <v>11</v>
      </c>
      <c r="D37" s="18">
        <f t="shared" ref="D37:J37" si="3">9+2</f>
        <v>11</v>
      </c>
      <c r="E37" s="18">
        <f t="shared" si="3"/>
        <v>11</v>
      </c>
      <c r="F37" s="18">
        <f t="shared" si="3"/>
        <v>11</v>
      </c>
      <c r="G37" s="18">
        <f t="shared" si="3"/>
        <v>11</v>
      </c>
      <c r="H37" s="18">
        <f t="shared" si="3"/>
        <v>11</v>
      </c>
      <c r="I37" s="18">
        <f t="shared" si="3"/>
        <v>11</v>
      </c>
      <c r="J37" s="18">
        <f t="shared" si="3"/>
        <v>11</v>
      </c>
      <c r="K37" s="18">
        <f>9+4</f>
        <v>13</v>
      </c>
      <c r="L37" s="18">
        <f t="shared" ref="L37:M37" si="4">9+4</f>
        <v>13</v>
      </c>
      <c r="M37" s="18">
        <f t="shared" si="4"/>
        <v>13</v>
      </c>
      <c r="N37" s="18">
        <v>14</v>
      </c>
      <c r="O37" s="18">
        <v>14</v>
      </c>
      <c r="P37" s="18">
        <v>14</v>
      </c>
      <c r="Q37" s="18">
        <v>15</v>
      </c>
      <c r="R37" s="18">
        <v>16</v>
      </c>
      <c r="S37" s="18">
        <v>16</v>
      </c>
      <c r="T37" s="18">
        <v>17</v>
      </c>
      <c r="U37" s="18">
        <v>17</v>
      </c>
      <c r="V37" s="18">
        <v>18</v>
      </c>
      <c r="W37" s="18">
        <v>19</v>
      </c>
      <c r="X37" s="18">
        <v>20</v>
      </c>
      <c r="Y37" s="18">
        <v>20</v>
      </c>
      <c r="Z37" s="18">
        <v>3</v>
      </c>
      <c r="AA37" s="18">
        <v>3</v>
      </c>
      <c r="AB37" s="18">
        <v>3</v>
      </c>
      <c r="AC37" s="18">
        <v>4</v>
      </c>
      <c r="AD37" s="18">
        <v>4</v>
      </c>
      <c r="AE37" s="18">
        <v>5</v>
      </c>
      <c r="AF37" s="18">
        <v>6</v>
      </c>
      <c r="AG37" s="18">
        <v>6</v>
      </c>
      <c r="AH37" s="18">
        <v>7</v>
      </c>
      <c r="AI37" s="18">
        <v>7</v>
      </c>
      <c r="AJ37" s="18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Dados</vt:lpstr>
      <vt:lpstr>Distance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Leonor Meneses</dc:creator>
  <cp:lastModifiedBy>Leonor Meneses</cp:lastModifiedBy>
  <dcterms:created xsi:type="dcterms:W3CDTF">2021-05-16T17:34:39Z</dcterms:created>
  <dcterms:modified xsi:type="dcterms:W3CDTF">2021-05-30T18:04:43Z</dcterms:modified>
</cp:coreProperties>
</file>